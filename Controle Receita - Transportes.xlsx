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<sst xmlns="http://schemas.openxmlformats.org/spreadsheetml/2006/main" count="9" uniqueCount="9">
  <si>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Controle Receita - Permaque Transportes</t>
  </si>
  <si>
    <t>Dia</t>
  </si>
  <si>
    <t>Faturado - Dia</t>
  </si>
  <si>
    <t>Acumulado - Mês</t>
  </si>
  <si>
    <t>Meta R$3.000.000,00</t>
  </si>
  <si>
    <t>Projeção</t>
  </si>
  <si>
    <t>Diferença da Meta</t>
  </si>
  <si>
    <t>Comparativo com Meta</t>
  </si>
  <si>
    <t>Comissão - Progressão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</si>
</sst>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10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0.0"/>
    <col customWidth="1" min="4" max="4" width="20.63"/>
    <col customWidth="1" min="5" max="5" width="15.38"/>
    <col customWidth="1" min="6" max="6" width="20.75"/>
    <col customWidth="1" min="7" max="7" width="22.13"/>
    <col customWidth="1" min="8" max="8" width="21.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>
        <v>45992.0</v>
      </c>
      <c r="B4" s="4">
        <v>57375.0</v>
      </c>
      <c r="C4" s="5">
        <f>SUM(B4)</f>
        <v>57375</v>
      </c>
      <c r="D4" s="6">
        <f t="shared" ref="D4:D34" si="1">IF(C4="","",C4/3000000)
</f>
        <v>0.019125</v>
      </c>
      <c r="E4" s="5">
        <f>IF(C4="","",C4/1*30)</f>
        <v>1721250</v>
      </c>
      <c r="F4" s="5">
        <f t="shared" ref="F4:F35" si="2">IF(E4="","",E4-3000000)</f>
        <v>-1278750</v>
      </c>
      <c r="G4" s="6">
        <f t="shared" ref="G4:G34" si="3">IF(E4="","",E4/3000000)</f>
        <v>0.57375</v>
      </c>
      <c r="H4" s="5">
        <f t="shared" ref="H4:H35" si="4">IF(C4="","",C4*8.6%)</f>
        <v>4934.25</v>
      </c>
    </row>
    <row r="5">
      <c r="A5" s="3">
        <v>45993.0</v>
      </c>
      <c r="B5" s="4">
        <v>35988.65</v>
      </c>
      <c r="C5" s="5">
        <f t="shared" ref="C5:C34" si="5">IF(B5="","",C4+B5)
</f>
        <v>93363.65</v>
      </c>
      <c r="D5" s="6">
        <f t="shared" si="1"/>
        <v>0.03112121667</v>
      </c>
      <c r="E5" s="5">
        <f>IF(C5="","",C5/2*30)</f>
        <v>1400454.75</v>
      </c>
      <c r="F5" s="5">
        <f t="shared" si="2"/>
        <v>-1599545.25</v>
      </c>
      <c r="G5" s="6">
        <f t="shared" si="3"/>
        <v>0.46681825</v>
      </c>
      <c r="H5" s="5">
        <f t="shared" si="4"/>
        <v>8029.2739</v>
      </c>
    </row>
    <row r="6">
      <c r="A6" s="3">
        <v>45994.0</v>
      </c>
      <c r="B6" s="4">
        <v>83495.24</v>
      </c>
      <c r="C6" s="5">
        <f t="shared" si="5"/>
        <v>176858.89</v>
      </c>
      <c r="D6" s="6">
        <f t="shared" si="1"/>
        <v>0.05895296333</v>
      </c>
      <c r="E6" s="5">
        <f>IF(C6="","",C6/3*30)</f>
        <v>1768588.9</v>
      </c>
      <c r="F6" s="5">
        <f t="shared" si="2"/>
        <v>-1231411.1</v>
      </c>
      <c r="G6" s="6">
        <f t="shared" si="3"/>
        <v>0.5895296333</v>
      </c>
      <c r="H6" s="5">
        <f t="shared" si="4"/>
        <v>15209.86454</v>
      </c>
    </row>
    <row r="7">
      <c r="A7" s="3">
        <v>45995.0</v>
      </c>
      <c r="B7" s="4">
        <v>129280.22</v>
      </c>
      <c r="C7" s="5">
        <f t="shared" si="5"/>
        <v>306139.11</v>
      </c>
      <c r="D7" s="6">
        <f t="shared" si="1"/>
        <v>0.10204637</v>
      </c>
      <c r="E7" s="5">
        <f>IF(C7="","",C7/4*30)</f>
        <v>2296043.325</v>
      </c>
      <c r="F7" s="5">
        <f t="shared" si="2"/>
        <v>-703956.675</v>
      </c>
      <c r="G7" s="6">
        <f t="shared" si="3"/>
        <v>0.765347775</v>
      </c>
      <c r="H7" s="5">
        <f t="shared" si="4"/>
        <v>26327.96346</v>
      </c>
    </row>
    <row r="8">
      <c r="A8" s="3">
        <v>45996.0</v>
      </c>
      <c r="B8" s="4">
        <v>137397.39</v>
      </c>
      <c r="C8" s="5">
        <f t="shared" si="5"/>
        <v>443536.5</v>
      </c>
      <c r="D8" s="6">
        <f t="shared" si="1"/>
        <v>0.1478455</v>
      </c>
      <c r="E8" s="5">
        <f>IF(C8="","",C8/5*30)</f>
        <v>2661219</v>
      </c>
      <c r="F8" s="5">
        <f t="shared" si="2"/>
        <v>-338781</v>
      </c>
      <c r="G8" s="6">
        <f t="shared" si="3"/>
        <v>0.887073</v>
      </c>
      <c r="H8" s="5">
        <f t="shared" si="4"/>
        <v>38144.139</v>
      </c>
    </row>
    <row r="9">
      <c r="A9" s="3">
        <v>45997.0</v>
      </c>
      <c r="B9" s="4">
        <v>120971.45</v>
      </c>
      <c r="C9" s="5">
        <f t="shared" si="5"/>
        <v>564507.95</v>
      </c>
      <c r="D9" s="6">
        <f t="shared" si="1"/>
        <v>0.1881693167</v>
      </c>
      <c r="E9" s="5">
        <f>IF(C9="","",C9/6*30)</f>
        <v>2822539.75</v>
      </c>
      <c r="F9" s="5">
        <f t="shared" si="2"/>
        <v>-177460.25</v>
      </c>
      <c r="G9" s="6">
        <f t="shared" si="3"/>
        <v>0.9408465833</v>
      </c>
      <c r="H9" s="5">
        <f t="shared" si="4"/>
        <v>48547.6837</v>
      </c>
    </row>
    <row r="10">
      <c r="A10" s="3">
        <v>45998.0</v>
      </c>
      <c r="B10" s="4">
        <v>16000.0</v>
      </c>
      <c r="C10" s="5">
        <f t="shared" si="5"/>
        <v>580507.95</v>
      </c>
      <c r="D10" s="6">
        <f t="shared" si="1"/>
        <v>0.19350265</v>
      </c>
      <c r="E10" s="5">
        <f>IF(C10="","",C10/7*30)</f>
        <v>2487891.214</v>
      </c>
      <c r="F10" s="5">
        <f t="shared" si="2"/>
        <v>-512108.7857</v>
      </c>
      <c r="G10" s="6">
        <f t="shared" si="3"/>
        <v>0.8292970714</v>
      </c>
      <c r="H10" s="5">
        <f t="shared" si="4"/>
        <v>49923.6837</v>
      </c>
    </row>
    <row r="11">
      <c r="A11" s="3">
        <v>45999.0</v>
      </c>
      <c r="B11" s="4">
        <v>129448.4</v>
      </c>
      <c r="C11" s="5">
        <f t="shared" si="5"/>
        <v>709956.35</v>
      </c>
      <c r="D11" s="6">
        <f t="shared" si="1"/>
        <v>0.2366521167</v>
      </c>
      <c r="E11" s="5">
        <f>IF(C11="","",C11/8*30)</f>
        <v>2662336.313</v>
      </c>
      <c r="F11" s="5">
        <f t="shared" si="2"/>
        <v>-337663.6875</v>
      </c>
      <c r="G11" s="6">
        <f t="shared" si="3"/>
        <v>0.8874454375</v>
      </c>
      <c r="H11" s="5">
        <f t="shared" si="4"/>
        <v>61056.2461</v>
      </c>
    </row>
    <row r="12">
      <c r="A12" s="3">
        <v>46000.0</v>
      </c>
      <c r="B12" s="4">
        <v>35490.0</v>
      </c>
      <c r="C12" s="5">
        <f t="shared" si="5"/>
        <v>745446.35</v>
      </c>
      <c r="D12" s="6">
        <f t="shared" si="1"/>
        <v>0.2484821167</v>
      </c>
      <c r="E12" s="5">
        <f>IF(C12="","",C12/9*30)</f>
        <v>2484821.167</v>
      </c>
      <c r="F12" s="5">
        <f t="shared" si="2"/>
        <v>-515178.8333</v>
      </c>
      <c r="G12" s="6">
        <f t="shared" si="3"/>
        <v>0.8282737222</v>
      </c>
      <c r="H12" s="5">
        <f t="shared" si="4"/>
        <v>64108.3861</v>
      </c>
    </row>
    <row r="13">
      <c r="A13" s="3">
        <v>46001.0</v>
      </c>
      <c r="B13" s="4">
        <v>127202.54</v>
      </c>
      <c r="C13" s="5">
        <f t="shared" si="5"/>
        <v>872648.89</v>
      </c>
      <c r="D13" s="6">
        <f t="shared" si="1"/>
        <v>0.2908829633</v>
      </c>
      <c r="E13" s="5">
        <f>IF(C13="","",C13/10*30)</f>
        <v>2617946.67</v>
      </c>
      <c r="F13" s="5">
        <f t="shared" si="2"/>
        <v>-382053.33</v>
      </c>
      <c r="G13" s="6">
        <f t="shared" si="3"/>
        <v>0.87264889</v>
      </c>
      <c r="H13" s="5">
        <f t="shared" si="4"/>
        <v>75047.80454</v>
      </c>
    </row>
    <row r="14">
      <c r="A14" s="3">
        <v>46002.0</v>
      </c>
      <c r="B14" s="4">
        <v>115726.25</v>
      </c>
      <c r="C14" s="5">
        <f t="shared" si="5"/>
        <v>988375.14</v>
      </c>
      <c r="D14" s="6">
        <f t="shared" si="1"/>
        <v>0.32945838</v>
      </c>
      <c r="E14" s="5">
        <f>IF(C14="","",C14/11*30)</f>
        <v>2695568.564</v>
      </c>
      <c r="F14" s="5">
        <f t="shared" si="2"/>
        <v>-304431.4364</v>
      </c>
      <c r="G14" s="6">
        <f t="shared" si="3"/>
        <v>0.8985228545</v>
      </c>
      <c r="H14" s="5">
        <f t="shared" si="4"/>
        <v>85000.26204</v>
      </c>
    </row>
    <row r="15">
      <c r="A15" s="3">
        <v>46003.0</v>
      </c>
      <c r="B15" s="4"/>
      <c r="C15" s="5" t="str">
        <f t="shared" si="5"/>
        <v/>
      </c>
      <c r="D15" s="6" t="str">
        <f t="shared" si="1"/>
        <v/>
      </c>
      <c r="E15" s="5" t="str">
        <f>IF(C15="","",C15/12*30)</f>
        <v/>
      </c>
      <c r="F15" s="5" t="str">
        <f t="shared" si="2"/>
        <v/>
      </c>
      <c r="G15" s="6" t="str">
        <f t="shared" si="3"/>
        <v/>
      </c>
      <c r="H15" s="7" t="str">
        <f t="shared" si="4"/>
        <v/>
      </c>
    </row>
    <row r="16">
      <c r="A16" s="3">
        <v>46004.0</v>
      </c>
      <c r="B16" s="5"/>
      <c r="C16" s="5" t="str">
        <f t="shared" si="5"/>
        <v/>
      </c>
      <c r="D16" s="6" t="str">
        <f t="shared" si="1"/>
        <v/>
      </c>
      <c r="E16" s="5" t="str">
        <f>IF(C16="","",C16/13*30)</f>
        <v/>
      </c>
      <c r="F16" s="5" t="str">
        <f t="shared" si="2"/>
        <v/>
      </c>
      <c r="G16" s="6" t="str">
        <f t="shared" si="3"/>
        <v/>
      </c>
      <c r="H16" s="7" t="str">
        <f t="shared" si="4"/>
        <v/>
      </c>
    </row>
    <row r="17">
      <c r="A17" s="3">
        <v>46005.0</v>
      </c>
      <c r="B17" s="5"/>
      <c r="C17" s="5" t="str">
        <f t="shared" si="5"/>
        <v/>
      </c>
      <c r="D17" s="6" t="str">
        <f t="shared" si="1"/>
        <v/>
      </c>
      <c r="E17" s="5" t="str">
        <f>IF(C17="","",C17/14*30)</f>
        <v/>
      </c>
      <c r="F17" s="5" t="str">
        <f t="shared" si="2"/>
        <v/>
      </c>
      <c r="G17" s="6" t="str">
        <f t="shared" si="3"/>
        <v/>
      </c>
      <c r="H17" s="7" t="str">
        <f t="shared" si="4"/>
        <v/>
      </c>
    </row>
    <row r="18">
      <c r="A18" s="3">
        <v>46006.0</v>
      </c>
      <c r="B18" s="5"/>
      <c r="C18" s="5" t="str">
        <f t="shared" si="5"/>
        <v/>
      </c>
      <c r="D18" s="6" t="str">
        <f t="shared" si="1"/>
        <v/>
      </c>
      <c r="E18" s="5" t="str">
        <f>IF(C18="","",C18/15*30)</f>
        <v/>
      </c>
      <c r="F18" s="5" t="str">
        <f t="shared" si="2"/>
        <v/>
      </c>
      <c r="G18" s="6" t="str">
        <f t="shared" si="3"/>
        <v/>
      </c>
      <c r="H18" s="7" t="str">
        <f t="shared" si="4"/>
        <v/>
      </c>
    </row>
    <row r="19">
      <c r="A19" s="3">
        <v>46007.0</v>
      </c>
      <c r="B19" s="5"/>
      <c r="C19" s="5" t="str">
        <f t="shared" si="5"/>
        <v/>
      </c>
      <c r="D19" s="6" t="str">
        <f t="shared" si="1"/>
        <v/>
      </c>
      <c r="E19" s="5" t="str">
        <f>IF(C19="","",C19/16*30)</f>
        <v/>
      </c>
      <c r="F19" s="5" t="str">
        <f t="shared" si="2"/>
        <v/>
      </c>
      <c r="G19" s="6" t="str">
        <f t="shared" si="3"/>
        <v/>
      </c>
      <c r="H19" s="7" t="str">
        <f t="shared" si="4"/>
        <v/>
      </c>
    </row>
    <row r="20">
      <c r="A20" s="3">
        <v>46008.0</v>
      </c>
      <c r="B20" s="5"/>
      <c r="C20" s="5" t="str">
        <f t="shared" si="5"/>
        <v/>
      </c>
      <c r="D20" s="6" t="str">
        <f t="shared" si="1"/>
        <v/>
      </c>
      <c r="E20" s="5" t="str">
        <f>IF(C20="","",C20/17*30)</f>
        <v/>
      </c>
      <c r="F20" s="5" t="str">
        <f t="shared" si="2"/>
        <v/>
      </c>
      <c r="G20" s="6" t="str">
        <f t="shared" si="3"/>
        <v/>
      </c>
      <c r="H20" s="7" t="str">
        <f t="shared" si="4"/>
        <v/>
      </c>
    </row>
    <row r="21">
      <c r="A21" s="3">
        <v>46009.0</v>
      </c>
      <c r="B21" s="5"/>
      <c r="C21" s="5" t="str">
        <f t="shared" si="5"/>
        <v/>
      </c>
      <c r="D21" s="6" t="str">
        <f t="shared" si="1"/>
        <v/>
      </c>
      <c r="E21" s="5" t="str">
        <f>IF(C21="","",C21/18*30)</f>
        <v/>
      </c>
      <c r="F21" s="5" t="str">
        <f t="shared" si="2"/>
        <v/>
      </c>
      <c r="G21" s="6" t="str">
        <f t="shared" si="3"/>
        <v/>
      </c>
      <c r="H21" s="7" t="str">
        <f t="shared" si="4"/>
        <v/>
      </c>
    </row>
    <row r="22">
      <c r="A22" s="3">
        <v>46010.0</v>
      </c>
      <c r="B22" s="5"/>
      <c r="C22" s="5" t="str">
        <f t="shared" si="5"/>
        <v/>
      </c>
      <c r="D22" s="6" t="str">
        <f t="shared" si="1"/>
        <v/>
      </c>
      <c r="E22" s="5" t="str">
        <f>IF(C22="","",C22/19*30)</f>
        <v/>
      </c>
      <c r="F22" s="5" t="str">
        <f t="shared" si="2"/>
        <v/>
      </c>
      <c r="G22" s="6" t="str">
        <f t="shared" si="3"/>
        <v/>
      </c>
      <c r="H22" s="7" t="str">
        <f t="shared" si="4"/>
        <v/>
      </c>
    </row>
    <row r="23">
      <c r="A23" s="3">
        <v>46011.0</v>
      </c>
      <c r="B23" s="5"/>
      <c r="C23" s="5" t="str">
        <f t="shared" si="5"/>
        <v/>
      </c>
      <c r="D23" s="6" t="str">
        <f t="shared" si="1"/>
        <v/>
      </c>
      <c r="E23" s="5" t="str">
        <f>IF(C23="","",C23/20*30)</f>
        <v/>
      </c>
      <c r="F23" s="5" t="str">
        <f t="shared" si="2"/>
        <v/>
      </c>
      <c r="G23" s="6" t="str">
        <f t="shared" si="3"/>
        <v/>
      </c>
      <c r="H23" s="7" t="str">
        <f t="shared" si="4"/>
        <v/>
      </c>
    </row>
    <row r="24">
      <c r="A24" s="3">
        <v>46012.0</v>
      </c>
      <c r="B24" s="5"/>
      <c r="C24" s="5" t="str">
        <f t="shared" si="5"/>
        <v/>
      </c>
      <c r="D24" s="6" t="str">
        <f t="shared" si="1"/>
        <v/>
      </c>
      <c r="E24" s="5" t="str">
        <f>IF(C24="","",C24/21*30)</f>
        <v/>
      </c>
      <c r="F24" s="5" t="str">
        <f t="shared" si="2"/>
        <v/>
      </c>
      <c r="G24" s="6" t="str">
        <f t="shared" si="3"/>
        <v/>
      </c>
      <c r="H24" s="7" t="str">
        <f t="shared" si="4"/>
        <v/>
      </c>
    </row>
    <row r="25">
      <c r="A25" s="3">
        <v>46013.0</v>
      </c>
      <c r="B25" s="5"/>
      <c r="C25" s="5" t="str">
        <f t="shared" si="5"/>
        <v/>
      </c>
      <c r="D25" s="6" t="str">
        <f t="shared" si="1"/>
        <v/>
      </c>
      <c r="E25" s="5" t="str">
        <f>IF(C25="","",C25/22*30)</f>
        <v/>
      </c>
      <c r="F25" s="5" t="str">
        <f t="shared" si="2"/>
        <v/>
      </c>
      <c r="G25" s="6" t="str">
        <f t="shared" si="3"/>
        <v/>
      </c>
      <c r="H25" s="7" t="str">
        <f t="shared" si="4"/>
        <v/>
      </c>
    </row>
    <row r="26">
      <c r="A26" s="3">
        <v>46014.0</v>
      </c>
      <c r="B26" s="5"/>
      <c r="C26" s="5" t="str">
        <f t="shared" si="5"/>
        <v/>
      </c>
      <c r="D26" s="6" t="str">
        <f t="shared" si="1"/>
        <v/>
      </c>
      <c r="E26" s="5" t="str">
        <f>IF(C26="","",C26/23*30)</f>
        <v/>
      </c>
      <c r="F26" s="5" t="str">
        <f t="shared" si="2"/>
        <v/>
      </c>
      <c r="G26" s="6" t="str">
        <f t="shared" si="3"/>
        <v/>
      </c>
      <c r="H26" s="7" t="str">
        <f t="shared" si="4"/>
        <v/>
      </c>
    </row>
    <row r="27">
      <c r="A27" s="3">
        <v>46015.0</v>
      </c>
      <c r="B27" s="5"/>
      <c r="C27" s="5" t="str">
        <f t="shared" si="5"/>
        <v/>
      </c>
      <c r="D27" s="6" t="str">
        <f t="shared" si="1"/>
        <v/>
      </c>
      <c r="E27" s="5" t="str">
        <f>IF(C27="","",C27/24*30)</f>
        <v/>
      </c>
      <c r="F27" s="5" t="str">
        <f t="shared" si="2"/>
        <v/>
      </c>
      <c r="G27" s="6" t="str">
        <f t="shared" si="3"/>
        <v/>
      </c>
      <c r="H27" s="7" t="str">
        <f t="shared" si="4"/>
        <v/>
      </c>
    </row>
    <row r="28">
      <c r="A28" s="3">
        <v>46016.0</v>
      </c>
      <c r="B28" s="5"/>
      <c r="C28" s="5" t="str">
        <f t="shared" si="5"/>
        <v/>
      </c>
      <c r="D28" s="6" t="str">
        <f t="shared" si="1"/>
        <v/>
      </c>
      <c r="E28" s="5" t="str">
        <f>IF(C28="","",C28/25*30)</f>
        <v/>
      </c>
      <c r="F28" s="5" t="str">
        <f t="shared" si="2"/>
        <v/>
      </c>
      <c r="G28" s="6" t="str">
        <f t="shared" si="3"/>
        <v/>
      </c>
      <c r="H28" s="7" t="str">
        <f t="shared" si="4"/>
        <v/>
      </c>
    </row>
    <row r="29">
      <c r="A29" s="3">
        <v>46017.0</v>
      </c>
      <c r="B29" s="5"/>
      <c r="C29" s="5" t="str">
        <f t="shared" si="5"/>
        <v/>
      </c>
      <c r="D29" s="6" t="str">
        <f t="shared" si="1"/>
        <v/>
      </c>
      <c r="E29" s="5" t="str">
        <f>IF(C29="","",C29/26*30)</f>
        <v/>
      </c>
      <c r="F29" s="5" t="str">
        <f t="shared" si="2"/>
        <v/>
      </c>
      <c r="G29" s="6" t="str">
        <f t="shared" si="3"/>
        <v/>
      </c>
      <c r="H29" s="7" t="str">
        <f t="shared" si="4"/>
        <v/>
      </c>
    </row>
    <row r="30">
      <c r="A30" s="3">
        <v>46018.0</v>
      </c>
      <c r="B30" s="5"/>
      <c r="C30" s="5" t="str">
        <f t="shared" si="5"/>
        <v/>
      </c>
      <c r="D30" s="6" t="str">
        <f t="shared" si="1"/>
        <v/>
      </c>
      <c r="E30" s="5" t="str">
        <f>IF(C30="","",C30/27*30)</f>
        <v/>
      </c>
      <c r="F30" s="5" t="str">
        <f t="shared" si="2"/>
        <v/>
      </c>
      <c r="G30" s="6" t="str">
        <f t="shared" si="3"/>
        <v/>
      </c>
      <c r="H30" s="7" t="str">
        <f t="shared" si="4"/>
        <v/>
      </c>
    </row>
    <row r="31">
      <c r="A31" s="3">
        <v>46019.0</v>
      </c>
      <c r="B31" s="5"/>
      <c r="C31" s="5" t="str">
        <f t="shared" si="5"/>
        <v/>
      </c>
      <c r="D31" s="6" t="str">
        <f t="shared" si="1"/>
        <v/>
      </c>
      <c r="E31" s="5" t="str">
        <f>IF(C31="","",C31/28*30)</f>
        <v/>
      </c>
      <c r="F31" s="5" t="str">
        <f t="shared" si="2"/>
        <v/>
      </c>
      <c r="G31" s="6" t="str">
        <f t="shared" si="3"/>
        <v/>
      </c>
      <c r="H31" s="7" t="str">
        <f t="shared" si="4"/>
        <v/>
      </c>
    </row>
    <row r="32">
      <c r="A32" s="3">
        <v>46020.0</v>
      </c>
      <c r="B32" s="5"/>
      <c r="C32" s="5" t="str">
        <f t="shared" si="5"/>
        <v/>
      </c>
      <c r="D32" s="6" t="str">
        <f t="shared" si="1"/>
        <v/>
      </c>
      <c r="E32" s="5" t="str">
        <f>IF(C32="","",C32/29*30)</f>
        <v/>
      </c>
      <c r="F32" s="5" t="str">
        <f t="shared" si="2"/>
        <v/>
      </c>
      <c r="G32" s="6" t="str">
        <f t="shared" si="3"/>
        <v/>
      </c>
      <c r="H32" s="7" t="str">
        <f t="shared" si="4"/>
        <v/>
      </c>
    </row>
    <row r="33">
      <c r="A33" s="3">
        <v>46021.0</v>
      </c>
      <c r="B33" s="5"/>
      <c r="C33" s="5" t="str">
        <f t="shared" si="5"/>
        <v/>
      </c>
      <c r="D33" s="6" t="str">
        <f t="shared" si="1"/>
        <v/>
      </c>
      <c r="E33" s="5" t="str">
        <f>IF(C33="","",C33/30*30)</f>
        <v/>
      </c>
      <c r="F33" s="5" t="str">
        <f t="shared" si="2"/>
        <v/>
      </c>
      <c r="G33" s="6" t="str">
        <f t="shared" si="3"/>
        <v/>
      </c>
      <c r="H33" s="7" t="str">
        <f t="shared" si="4"/>
        <v/>
      </c>
    </row>
    <row r="34">
      <c r="A34" s="3">
        <v>46022.0</v>
      </c>
      <c r="B34" s="5"/>
      <c r="C34" s="5" t="str">
        <f t="shared" si="5"/>
        <v/>
      </c>
      <c r="D34" s="6" t="str">
        <f t="shared" si="1"/>
        <v/>
      </c>
      <c r="E34" s="5" t="str">
        <f>IF(C34="","",C34/31*30)</f>
        <v/>
      </c>
      <c r="F34" s="5" t="str">
        <f t="shared" si="2"/>
        <v/>
      </c>
      <c r="G34" s="6" t="str">
        <f t="shared" si="3"/>
        <v/>
      </c>
      <c r="H34" s="7" t="str">
        <f t="shared" si="4"/>
        <v/>
      </c>
    </row>
    <row r="35">
      <c r="F35" s="5" t="str">
        <f t="shared" si="2"/>
        <v/>
      </c>
      <c r="H35" s="7" t="str">
        <f t="shared" si="4"/>
        <v/>
      </c>
    </row>
  </sheetData>
  <mergeCells count="1">
    <mergeCell ref="A1:H2"/>
  </mergeCells>
  <drawing r:id="rId1"/>
</worksheet>
</file>