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p\OneDrive\Área de Trabalho\"/>
    </mc:Choice>
  </mc:AlternateContent>
  <xr:revisionPtr revIDLastSave="0" documentId="13_ncr:1_{0D97BE83-68BA-497C-9C6B-96BA20948114}" xr6:coauthVersionLast="47" xr6:coauthVersionMax="47" xr10:uidLastSave="{00000000-0000-0000-0000-000000000000}"/>
  <bookViews>
    <workbookView xWindow="-120" yWindow="-120" windowWidth="29040" windowHeight="15720" firstSheet="6" activeTab="6" xr2:uid="{793B12A1-34EF-4835-BF83-8B9207F34C01}"/>
  </bookViews>
  <sheets>
    <sheet name="SETEMBRO" sheetId="1" state="hidden" r:id="rId1"/>
    <sheet name="PRODUÇAO" sheetId="2" state="hidden" r:id="rId2"/>
    <sheet name="OUTUBRO" sheetId="3" state="hidden" r:id="rId3"/>
    <sheet name="PRODUÇAO (OUT)" sheetId="4" state="hidden" r:id="rId4"/>
    <sheet name="NOVEMBRO " sheetId="5" state="hidden" r:id="rId5"/>
    <sheet name="PRODUÇAO (NOV)" sheetId="6" state="hidden" r:id="rId6"/>
    <sheet name="DEZEMBRO" sheetId="7" r:id="rId7"/>
    <sheet name="PRODUÇAO (DEZ)" sheetId="8" r:id="rId8"/>
    <sheet name="DEZEMBRO JOSÉ" sheetId="9" r:id="rId9"/>
    <sheet name="PRODUÇAO JOSÉ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38" i="10" l="1"/>
  <c r="AO33" i="10"/>
  <c r="AN33" i="10"/>
  <c r="AO31" i="10"/>
  <c r="AN31" i="10"/>
  <c r="AO28" i="10"/>
  <c r="AN28" i="10"/>
  <c r="AM33" i="10"/>
  <c r="AM31" i="10"/>
  <c r="AM28" i="10"/>
  <c r="AL38" i="10"/>
  <c r="G43" i="9" s="1"/>
  <c r="M43" i="9" s="1"/>
  <c r="AK38" i="10"/>
  <c r="G42" i="9" s="1"/>
  <c r="M42" i="9" s="1"/>
  <c r="AJ38" i="10"/>
  <c r="G41" i="9" s="1"/>
  <c r="M41" i="9" s="1"/>
  <c r="AI38" i="10"/>
  <c r="G40" i="9" s="1"/>
  <c r="M40" i="9" s="1"/>
  <c r="AH38" i="10"/>
  <c r="G39" i="9" s="1"/>
  <c r="M39" i="9" s="1"/>
  <c r="AG38" i="10"/>
  <c r="G38" i="9" s="1"/>
  <c r="M38" i="9" s="1"/>
  <c r="AF38" i="10"/>
  <c r="G37" i="9" s="1"/>
  <c r="M37" i="9" s="1"/>
  <c r="AE38" i="10"/>
  <c r="G36" i="9" s="1"/>
  <c r="M36" i="9" s="1"/>
  <c r="AD38" i="10"/>
  <c r="G35" i="9" s="1"/>
  <c r="M35" i="9" s="1"/>
  <c r="AC38" i="10"/>
  <c r="G34" i="9" s="1"/>
  <c r="M34" i="9" s="1"/>
  <c r="AB38" i="10"/>
  <c r="G33" i="9" s="1"/>
  <c r="M33" i="9" s="1"/>
  <c r="AA38" i="10"/>
  <c r="G32" i="9" s="1"/>
  <c r="M32" i="9" s="1"/>
  <c r="Z38" i="10"/>
  <c r="G31" i="9" s="1"/>
  <c r="M31" i="9" s="1"/>
  <c r="Y38" i="10"/>
  <c r="G30" i="9" s="1"/>
  <c r="M30" i="9" s="1"/>
  <c r="X38" i="10"/>
  <c r="G29" i="9" s="1"/>
  <c r="M29" i="9" s="1"/>
  <c r="W38" i="10"/>
  <c r="G28" i="9" s="1"/>
  <c r="M28" i="9" s="1"/>
  <c r="V38" i="10"/>
  <c r="G27" i="9" s="1"/>
  <c r="M27" i="9" s="1"/>
  <c r="U38" i="10"/>
  <c r="G26" i="9" s="1"/>
  <c r="M26" i="9" s="1"/>
  <c r="T38" i="10"/>
  <c r="G25" i="9" s="1"/>
  <c r="M25" i="9" s="1"/>
  <c r="S38" i="10"/>
  <c r="G24" i="9" s="1"/>
  <c r="M24" i="9" s="1"/>
  <c r="R38" i="10"/>
  <c r="G23" i="9" s="1"/>
  <c r="M23" i="9" s="1"/>
  <c r="Q38" i="10"/>
  <c r="G22" i="9" s="1"/>
  <c r="M22" i="9" s="1"/>
  <c r="P38" i="10"/>
  <c r="G21" i="9" s="1"/>
  <c r="M21" i="9" s="1"/>
  <c r="O38" i="10"/>
  <c r="G20" i="9" s="1"/>
  <c r="M20" i="9" s="1"/>
  <c r="N38" i="10"/>
  <c r="G19" i="9" s="1"/>
  <c r="M19" i="9" s="1"/>
  <c r="M38" i="10"/>
  <c r="G18" i="9" s="1"/>
  <c r="M18" i="9" s="1"/>
  <c r="L38" i="10"/>
  <c r="G17" i="9" s="1"/>
  <c r="M17" i="9" s="1"/>
  <c r="K38" i="10"/>
  <c r="G16" i="9" s="1"/>
  <c r="M16" i="9" s="1"/>
  <c r="J38" i="10"/>
  <c r="G15" i="9" s="1"/>
  <c r="M15" i="9" s="1"/>
  <c r="I38" i="10"/>
  <c r="G14" i="9" s="1"/>
  <c r="M14" i="9" s="1"/>
  <c r="H38" i="10"/>
  <c r="G13" i="9" s="1"/>
  <c r="D13" i="9" s="1"/>
  <c r="AO37" i="10"/>
  <c r="AN37" i="10"/>
  <c r="AM37" i="10"/>
  <c r="AN36" i="10"/>
  <c r="AM36" i="10"/>
  <c r="AO36" i="10" s="1"/>
  <c r="AN35" i="10"/>
  <c r="AM35" i="10"/>
  <c r="AO35" i="10" s="1"/>
  <c r="AN30" i="10"/>
  <c r="AM30" i="10"/>
  <c r="AO30" i="10" s="1"/>
  <c r="AN29" i="10"/>
  <c r="AM29" i="10"/>
  <c r="AO29" i="10" s="1"/>
  <c r="AN27" i="10"/>
  <c r="AM27" i="10"/>
  <c r="AO27" i="10" s="1"/>
  <c r="AN26" i="10"/>
  <c r="AM26" i="10"/>
  <c r="AO26" i="10" s="1"/>
  <c r="AN25" i="10"/>
  <c r="AM25" i="10"/>
  <c r="AO25" i="10" s="1"/>
  <c r="AN24" i="10"/>
  <c r="AM24" i="10"/>
  <c r="AO24" i="10" s="1"/>
  <c r="AN23" i="10"/>
  <c r="AM23" i="10"/>
  <c r="AO23" i="10" s="1"/>
  <c r="AN22" i="10"/>
  <c r="AM22" i="10"/>
  <c r="AO22" i="10" s="1"/>
  <c r="AN21" i="10"/>
  <c r="AM21" i="10"/>
  <c r="AO21" i="10" s="1"/>
  <c r="AN20" i="10"/>
  <c r="AM20" i="10"/>
  <c r="AO20" i="10" s="1"/>
  <c r="AN19" i="10"/>
  <c r="AM19" i="10"/>
  <c r="AO19" i="10" s="1"/>
  <c r="AN18" i="10"/>
  <c r="AM18" i="10"/>
  <c r="AO18" i="10" s="1"/>
  <c r="AN17" i="10"/>
  <c r="AM17" i="10"/>
  <c r="AO17" i="10" s="1"/>
  <c r="AN16" i="10"/>
  <c r="AM16" i="10"/>
  <c r="AO16" i="10" s="1"/>
  <c r="AN15" i="10"/>
  <c r="AM15" i="10"/>
  <c r="AO15" i="10" s="1"/>
  <c r="AN14" i="10"/>
  <c r="AM14" i="10"/>
  <c r="AO14" i="10" s="1"/>
  <c r="AN13" i="10"/>
  <c r="AM13" i="10"/>
  <c r="AO13" i="10" s="1"/>
  <c r="AN12" i="10"/>
  <c r="AM12" i="10"/>
  <c r="AO12" i="10" s="1"/>
  <c r="AN11" i="10"/>
  <c r="AM11" i="10"/>
  <c r="AO11" i="10" s="1"/>
  <c r="AN10" i="10"/>
  <c r="AM10" i="10"/>
  <c r="AO10" i="10" s="1"/>
  <c r="AN9" i="10"/>
  <c r="AM9" i="10"/>
  <c r="AO9" i="10" s="1"/>
  <c r="AO8" i="10"/>
  <c r="AN8" i="10"/>
  <c r="AM8" i="10"/>
  <c r="AN7" i="10"/>
  <c r="AM7" i="10"/>
  <c r="AO7" i="10" s="1"/>
  <c r="AN6" i="10"/>
  <c r="AM6" i="10"/>
  <c r="AO6" i="10" s="1"/>
  <c r="AN5" i="10"/>
  <c r="AN38" i="10" s="1"/>
  <c r="AM5" i="10"/>
  <c r="AO5" i="10" s="1"/>
  <c r="G8" i="9"/>
  <c r="G7" i="9"/>
  <c r="G9" i="9" s="1"/>
  <c r="J38" i="8"/>
  <c r="G15" i="7" s="1"/>
  <c r="M15" i="7" s="1"/>
  <c r="G38" i="7"/>
  <c r="M38" i="7" s="1"/>
  <c r="G37" i="7"/>
  <c r="M37" i="7" s="1"/>
  <c r="G36" i="7"/>
  <c r="G30" i="7"/>
  <c r="M30" i="7" s="1"/>
  <c r="G29" i="7"/>
  <c r="M29" i="7" s="1"/>
  <c r="G28" i="7"/>
  <c r="M28" i="7" s="1"/>
  <c r="G19" i="7"/>
  <c r="M19" i="7" s="1"/>
  <c r="G13" i="7"/>
  <c r="M13" i="7" s="1"/>
  <c r="H38" i="8"/>
  <c r="AN35" i="8"/>
  <c r="AM35" i="8"/>
  <c r="AO35" i="8" s="1"/>
  <c r="AL38" i="8"/>
  <c r="G43" i="7" s="1"/>
  <c r="M43" i="7" s="1"/>
  <c r="AK38" i="8"/>
  <c r="G42" i="7" s="1"/>
  <c r="M42" i="7" s="1"/>
  <c r="AJ38" i="8"/>
  <c r="G41" i="7" s="1"/>
  <c r="M41" i="7" s="1"/>
  <c r="AI38" i="8"/>
  <c r="G40" i="7" s="1"/>
  <c r="M40" i="7" s="1"/>
  <c r="AH38" i="8"/>
  <c r="G39" i="7" s="1"/>
  <c r="M39" i="7" s="1"/>
  <c r="AG38" i="8"/>
  <c r="AF38" i="8"/>
  <c r="AE38" i="8"/>
  <c r="AD38" i="8"/>
  <c r="G35" i="7" s="1"/>
  <c r="M35" i="7" s="1"/>
  <c r="AC38" i="8"/>
  <c r="G34" i="7" s="1"/>
  <c r="M34" i="7" s="1"/>
  <c r="AB38" i="8"/>
  <c r="G33" i="7" s="1"/>
  <c r="M33" i="7" s="1"/>
  <c r="AA38" i="8"/>
  <c r="G32" i="7" s="1"/>
  <c r="M32" i="7" s="1"/>
  <c r="Z38" i="8"/>
  <c r="G31" i="7" s="1"/>
  <c r="M31" i="7" s="1"/>
  <c r="Y38" i="8"/>
  <c r="X38" i="8"/>
  <c r="W38" i="8"/>
  <c r="V38" i="8"/>
  <c r="G27" i="7" s="1"/>
  <c r="M27" i="7" s="1"/>
  <c r="U38" i="8"/>
  <c r="G26" i="7" s="1"/>
  <c r="M26" i="7" s="1"/>
  <c r="T38" i="8"/>
  <c r="G25" i="7" s="1"/>
  <c r="M25" i="7" s="1"/>
  <c r="S38" i="8"/>
  <c r="G24" i="7" s="1"/>
  <c r="M24" i="7" s="1"/>
  <c r="R38" i="8"/>
  <c r="G23" i="7" s="1"/>
  <c r="M23" i="7" s="1"/>
  <c r="Q38" i="8"/>
  <c r="G22" i="7" s="1"/>
  <c r="M22" i="7" s="1"/>
  <c r="P38" i="8"/>
  <c r="G21" i="7" s="1"/>
  <c r="M21" i="7" s="1"/>
  <c r="O38" i="8"/>
  <c r="G20" i="7" s="1"/>
  <c r="M20" i="7" s="1"/>
  <c r="N38" i="8"/>
  <c r="M38" i="8"/>
  <c r="G18" i="7" s="1"/>
  <c r="M18" i="7" s="1"/>
  <c r="L38" i="8"/>
  <c r="G17" i="7" s="1"/>
  <c r="M17" i="7" s="1"/>
  <c r="K38" i="8"/>
  <c r="G16" i="7" s="1"/>
  <c r="M16" i="7" s="1"/>
  <c r="I38" i="8"/>
  <c r="G14" i="7" s="1"/>
  <c r="M14" i="7" s="1"/>
  <c r="AN37" i="8"/>
  <c r="AM37" i="8"/>
  <c r="AO37" i="8" s="1"/>
  <c r="AN36" i="8"/>
  <c r="AM36" i="8"/>
  <c r="AO36" i="8" s="1"/>
  <c r="AN30" i="8"/>
  <c r="AM30" i="8"/>
  <c r="AO30" i="8" s="1"/>
  <c r="AN29" i="8"/>
  <c r="AM29" i="8"/>
  <c r="AO29" i="8" s="1"/>
  <c r="AN27" i="8"/>
  <c r="AM27" i="8"/>
  <c r="AO27" i="8" s="1"/>
  <c r="AN26" i="8"/>
  <c r="AM26" i="8"/>
  <c r="AO26" i="8" s="1"/>
  <c r="AN25" i="8"/>
  <c r="AM25" i="8"/>
  <c r="AO25" i="8" s="1"/>
  <c r="AN24" i="8"/>
  <c r="AM24" i="8"/>
  <c r="AO24" i="8" s="1"/>
  <c r="AN23" i="8"/>
  <c r="AM23" i="8"/>
  <c r="AO23" i="8" s="1"/>
  <c r="AN22" i="8"/>
  <c r="AM22" i="8"/>
  <c r="AO22" i="8" s="1"/>
  <c r="AN21" i="8"/>
  <c r="AM21" i="8"/>
  <c r="AO21" i="8" s="1"/>
  <c r="AN20" i="8"/>
  <c r="AM20" i="8"/>
  <c r="AO20" i="8" s="1"/>
  <c r="AN19" i="8"/>
  <c r="AM19" i="8"/>
  <c r="AO19" i="8" s="1"/>
  <c r="AN18" i="8"/>
  <c r="AM18" i="8"/>
  <c r="AO18" i="8" s="1"/>
  <c r="AN17" i="8"/>
  <c r="AM17" i="8"/>
  <c r="AO17" i="8" s="1"/>
  <c r="AN16" i="8"/>
  <c r="AM16" i="8"/>
  <c r="AO16" i="8" s="1"/>
  <c r="AN15" i="8"/>
  <c r="AM15" i="8"/>
  <c r="AO15" i="8" s="1"/>
  <c r="AN14" i="8"/>
  <c r="AM14" i="8"/>
  <c r="AO14" i="8" s="1"/>
  <c r="AN13" i="8"/>
  <c r="AM13" i="8"/>
  <c r="AO13" i="8" s="1"/>
  <c r="AO12" i="8"/>
  <c r="AN12" i="8"/>
  <c r="AM12" i="8"/>
  <c r="AN11" i="8"/>
  <c r="AM11" i="8"/>
  <c r="AO11" i="8" s="1"/>
  <c r="AN10" i="8"/>
  <c r="AM10" i="8"/>
  <c r="AO10" i="8" s="1"/>
  <c r="AN9" i="8"/>
  <c r="AM9" i="8"/>
  <c r="AO9" i="8" s="1"/>
  <c r="AN8" i="8"/>
  <c r="AM8" i="8"/>
  <c r="AO8" i="8" s="1"/>
  <c r="AN7" i="8"/>
  <c r="AM7" i="8"/>
  <c r="AO7" i="8" s="1"/>
  <c r="AN6" i="8"/>
  <c r="AM6" i="8"/>
  <c r="AO6" i="8" s="1"/>
  <c r="AN5" i="8"/>
  <c r="AN38" i="8" s="1"/>
  <c r="AM5" i="8"/>
  <c r="AO5" i="8" s="1"/>
  <c r="M36" i="7"/>
  <c r="G8" i="7"/>
  <c r="G7" i="7"/>
  <c r="G9" i="7" s="1"/>
  <c r="AK41" i="6"/>
  <c r="G42" i="5" s="1"/>
  <c r="M42" i="5" s="1"/>
  <c r="AJ41" i="6"/>
  <c r="G41" i="5" s="1"/>
  <c r="M41" i="5" s="1"/>
  <c r="AI41" i="6"/>
  <c r="G40" i="5" s="1"/>
  <c r="M40" i="5" s="1"/>
  <c r="AH41" i="6"/>
  <c r="AD41" i="6"/>
  <c r="AC41" i="6"/>
  <c r="AB41" i="6"/>
  <c r="G33" i="5" s="1"/>
  <c r="M33" i="5" s="1"/>
  <c r="AN32" i="6"/>
  <c r="AM32" i="6"/>
  <c r="AO32" i="6" s="1"/>
  <c r="G28" i="5"/>
  <c r="M28" i="5" s="1"/>
  <c r="G43" i="5"/>
  <c r="M43" i="5" s="1"/>
  <c r="AL41" i="6"/>
  <c r="G39" i="5"/>
  <c r="M39" i="5" s="1"/>
  <c r="AG41" i="6"/>
  <c r="G38" i="5" s="1"/>
  <c r="M38" i="5" s="1"/>
  <c r="AF41" i="6"/>
  <c r="G37" i="5" s="1"/>
  <c r="M37" i="5" s="1"/>
  <c r="AE41" i="6"/>
  <c r="G36" i="5" s="1"/>
  <c r="M36" i="5" s="1"/>
  <c r="G35" i="5"/>
  <c r="M35" i="5" s="1"/>
  <c r="G34" i="5"/>
  <c r="M34" i="5" s="1"/>
  <c r="AA41" i="6"/>
  <c r="G32" i="5" s="1"/>
  <c r="M32" i="5" s="1"/>
  <c r="Z41" i="6"/>
  <c r="G31" i="5" s="1"/>
  <c r="M31" i="5" s="1"/>
  <c r="Y41" i="6"/>
  <c r="G30" i="5" s="1"/>
  <c r="M30" i="5" s="1"/>
  <c r="X41" i="6"/>
  <c r="G29" i="5" s="1"/>
  <c r="M29" i="5" s="1"/>
  <c r="W41" i="6"/>
  <c r="V41" i="6"/>
  <c r="G27" i="5" s="1"/>
  <c r="M27" i="5" s="1"/>
  <c r="U41" i="6"/>
  <c r="G26" i="5" s="1"/>
  <c r="M26" i="5" s="1"/>
  <c r="T41" i="6"/>
  <c r="G25" i="5" s="1"/>
  <c r="M25" i="5" s="1"/>
  <c r="S41" i="6"/>
  <c r="G24" i="5" s="1"/>
  <c r="M24" i="5" s="1"/>
  <c r="R41" i="6"/>
  <c r="G23" i="5" s="1"/>
  <c r="M23" i="5" s="1"/>
  <c r="Q41" i="6"/>
  <c r="G22" i="5" s="1"/>
  <c r="M22" i="5" s="1"/>
  <c r="P41" i="6"/>
  <c r="G21" i="5" s="1"/>
  <c r="M21" i="5" s="1"/>
  <c r="O41" i="6"/>
  <c r="G20" i="5" s="1"/>
  <c r="M20" i="5" s="1"/>
  <c r="N41" i="6"/>
  <c r="G19" i="5" s="1"/>
  <c r="M19" i="5" s="1"/>
  <c r="M41" i="6"/>
  <c r="G18" i="5" s="1"/>
  <c r="M18" i="5" s="1"/>
  <c r="L41" i="6"/>
  <c r="G17" i="5" s="1"/>
  <c r="M17" i="5" s="1"/>
  <c r="K41" i="6"/>
  <c r="G16" i="5" s="1"/>
  <c r="J41" i="6"/>
  <c r="G15" i="5" s="1"/>
  <c r="M15" i="5" s="1"/>
  <c r="I41" i="6"/>
  <c r="G14" i="5" s="1"/>
  <c r="M14" i="5" s="1"/>
  <c r="H41" i="6"/>
  <c r="G13" i="5" s="1"/>
  <c r="AN40" i="6"/>
  <c r="AM40" i="6"/>
  <c r="AO40" i="6" s="1"/>
  <c r="AN39" i="6"/>
  <c r="AM39" i="6"/>
  <c r="AO39" i="6" s="1"/>
  <c r="AN38" i="6"/>
  <c r="AM38" i="6"/>
  <c r="AO38" i="6" s="1"/>
  <c r="AN37" i="6"/>
  <c r="AM37" i="6"/>
  <c r="AO37" i="6" s="1"/>
  <c r="AN31" i="6"/>
  <c r="AM31" i="6"/>
  <c r="AO31" i="6" s="1"/>
  <c r="AN29" i="6"/>
  <c r="AM29" i="6"/>
  <c r="AO29" i="6" s="1"/>
  <c r="AN28" i="6"/>
  <c r="AM28" i="6"/>
  <c r="AO28" i="6" s="1"/>
  <c r="AN27" i="6"/>
  <c r="AM27" i="6"/>
  <c r="AO27" i="6" s="1"/>
  <c r="AN26" i="6"/>
  <c r="AM26" i="6"/>
  <c r="AO26" i="6" s="1"/>
  <c r="AN25" i="6"/>
  <c r="AM25" i="6"/>
  <c r="AO25" i="6" s="1"/>
  <c r="AN24" i="6"/>
  <c r="AM24" i="6"/>
  <c r="AO24" i="6" s="1"/>
  <c r="AN23" i="6"/>
  <c r="AM23" i="6"/>
  <c r="AO23" i="6" s="1"/>
  <c r="AN22" i="6"/>
  <c r="AM22" i="6"/>
  <c r="AO22" i="6" s="1"/>
  <c r="AN21" i="6"/>
  <c r="AM21" i="6"/>
  <c r="AO21" i="6" s="1"/>
  <c r="AN20" i="6"/>
  <c r="AM20" i="6"/>
  <c r="AO20" i="6" s="1"/>
  <c r="AN19" i="6"/>
  <c r="AM19" i="6"/>
  <c r="AO19" i="6" s="1"/>
  <c r="AN18" i="6"/>
  <c r="AM18" i="6"/>
  <c r="AO18" i="6" s="1"/>
  <c r="AN17" i="6"/>
  <c r="AM17" i="6"/>
  <c r="AO17" i="6" s="1"/>
  <c r="AN16" i="6"/>
  <c r="AM16" i="6"/>
  <c r="AO16" i="6" s="1"/>
  <c r="AN15" i="6"/>
  <c r="AM15" i="6"/>
  <c r="AO15" i="6" s="1"/>
  <c r="AN14" i="6"/>
  <c r="AM14" i="6"/>
  <c r="AO14" i="6" s="1"/>
  <c r="AN13" i="6"/>
  <c r="AM13" i="6"/>
  <c r="AO13" i="6" s="1"/>
  <c r="AN12" i="6"/>
  <c r="AM12" i="6"/>
  <c r="AO12" i="6" s="1"/>
  <c r="AN11" i="6"/>
  <c r="AM11" i="6"/>
  <c r="AO11" i="6" s="1"/>
  <c r="AN10" i="6"/>
  <c r="AM10" i="6"/>
  <c r="AO10" i="6" s="1"/>
  <c r="AN9" i="6"/>
  <c r="AM9" i="6"/>
  <c r="AO9" i="6" s="1"/>
  <c r="AN8" i="6"/>
  <c r="AM8" i="6"/>
  <c r="AO8" i="6" s="1"/>
  <c r="AN7" i="6"/>
  <c r="AM7" i="6"/>
  <c r="AO7" i="6" s="1"/>
  <c r="AN6" i="6"/>
  <c r="AM6" i="6"/>
  <c r="AO6" i="6" s="1"/>
  <c r="AN5" i="6"/>
  <c r="AM5" i="6"/>
  <c r="AO5" i="6" s="1"/>
  <c r="G8" i="5"/>
  <c r="G9" i="5" s="1"/>
  <c r="G7" i="5"/>
  <c r="AN39" i="4"/>
  <c r="AN38" i="4"/>
  <c r="AN37" i="4"/>
  <c r="AN36" i="4"/>
  <c r="AO40" i="4"/>
  <c r="AM40" i="4"/>
  <c r="AM39" i="4"/>
  <c r="AO39" i="4" s="1"/>
  <c r="AN41" i="4"/>
  <c r="AN40" i="4"/>
  <c r="AN35" i="4"/>
  <c r="AN34" i="4"/>
  <c r="AN29" i="4"/>
  <c r="AN30" i="4"/>
  <c r="AN31" i="4"/>
  <c r="AM38" i="4"/>
  <c r="AO38" i="4" s="1"/>
  <c r="AM37" i="4"/>
  <c r="AO37" i="4" s="1"/>
  <c r="AM36" i="4"/>
  <c r="AO36" i="4" s="1"/>
  <c r="AM35" i="4"/>
  <c r="AO35" i="4" s="1"/>
  <c r="AM34" i="4"/>
  <c r="AO34" i="4" s="1"/>
  <c r="AG42" i="4"/>
  <c r="G38" i="3" s="1"/>
  <c r="M38" i="3" s="1"/>
  <c r="V42" i="4"/>
  <c r="I42" i="4"/>
  <c r="G14" i="3" s="1"/>
  <c r="M14" i="3" s="1"/>
  <c r="AM41" i="4"/>
  <c r="AO41" i="4" s="1"/>
  <c r="AM33" i="4"/>
  <c r="AO33" i="4" s="1"/>
  <c r="AM32" i="4"/>
  <c r="AO32" i="4" s="1"/>
  <c r="AM31" i="4"/>
  <c r="AO31" i="4" s="1"/>
  <c r="AM30" i="4"/>
  <c r="AO30" i="4" s="1"/>
  <c r="AM29" i="4"/>
  <c r="AO29" i="4" s="1"/>
  <c r="AM28" i="4"/>
  <c r="AO28" i="4" s="1"/>
  <c r="AM27" i="4"/>
  <c r="AO27" i="4" s="1"/>
  <c r="AM26" i="4"/>
  <c r="AO26" i="4" s="1"/>
  <c r="AM25" i="4"/>
  <c r="AO25" i="4" s="1"/>
  <c r="AM24" i="4"/>
  <c r="AO24" i="4" s="1"/>
  <c r="AM23" i="4"/>
  <c r="AO23" i="4" s="1"/>
  <c r="AM22" i="4"/>
  <c r="AO22" i="4" s="1"/>
  <c r="AM21" i="4"/>
  <c r="AO21" i="4" s="1"/>
  <c r="AM20" i="4"/>
  <c r="AM19" i="4"/>
  <c r="AO19" i="4" s="1"/>
  <c r="AM18" i="4"/>
  <c r="AO18" i="4" s="1"/>
  <c r="AM17" i="4"/>
  <c r="AM16" i="4"/>
  <c r="AO16" i="4" s="1"/>
  <c r="AM15" i="4"/>
  <c r="AO15" i="4" s="1"/>
  <c r="AM14" i="4"/>
  <c r="AO14" i="4" s="1"/>
  <c r="AM13" i="4"/>
  <c r="AO13" i="4" s="1"/>
  <c r="AM12" i="4"/>
  <c r="AO12" i="4" s="1"/>
  <c r="AM11" i="4"/>
  <c r="AO11" i="4" s="1"/>
  <c r="AM10" i="4"/>
  <c r="AO10" i="4" s="1"/>
  <c r="AM9" i="4"/>
  <c r="AO9" i="4" s="1"/>
  <c r="AM8" i="4"/>
  <c r="AO8" i="4" s="1"/>
  <c r="AM7" i="4"/>
  <c r="AO7" i="4" s="1"/>
  <c r="AM6" i="4"/>
  <c r="AO6" i="4" s="1"/>
  <c r="AM5" i="4"/>
  <c r="AL42" i="4"/>
  <c r="G43" i="3" s="1"/>
  <c r="AK42" i="4"/>
  <c r="G42" i="3" s="1"/>
  <c r="M42" i="3" s="1"/>
  <c r="AF42" i="4"/>
  <c r="G37" i="3" s="1"/>
  <c r="M37" i="3" s="1"/>
  <c r="AJ42" i="4"/>
  <c r="G41" i="3" s="1"/>
  <c r="M41" i="3" s="1"/>
  <c r="AI42" i="4"/>
  <c r="G40" i="3" s="1"/>
  <c r="M40" i="3" s="1"/>
  <c r="AH42" i="4"/>
  <c r="G39" i="3" s="1"/>
  <c r="M39" i="3" s="1"/>
  <c r="AE42" i="4"/>
  <c r="G36" i="3" s="1"/>
  <c r="M36" i="3" s="1"/>
  <c r="AD42" i="4"/>
  <c r="G35" i="3" s="1"/>
  <c r="M35" i="3" s="1"/>
  <c r="AC42" i="4"/>
  <c r="G34" i="3" s="1"/>
  <c r="M34" i="3" s="1"/>
  <c r="AB42" i="4"/>
  <c r="G33" i="3" s="1"/>
  <c r="M33" i="3" s="1"/>
  <c r="AA42" i="4"/>
  <c r="G32" i="3" s="1"/>
  <c r="M32" i="3" s="1"/>
  <c r="Z42" i="4"/>
  <c r="G31" i="3" s="1"/>
  <c r="M31" i="3" s="1"/>
  <c r="Y42" i="4"/>
  <c r="G30" i="3" s="1"/>
  <c r="M30" i="3" s="1"/>
  <c r="X42" i="4"/>
  <c r="G29" i="3" s="1"/>
  <c r="M29" i="3" s="1"/>
  <c r="W42" i="4"/>
  <c r="G28" i="3" s="1"/>
  <c r="M28" i="3" s="1"/>
  <c r="G27" i="3"/>
  <c r="M27" i="3" s="1"/>
  <c r="U42" i="4"/>
  <c r="G26" i="3" s="1"/>
  <c r="M26" i="3" s="1"/>
  <c r="T42" i="4"/>
  <c r="G25" i="3" s="1"/>
  <c r="M25" i="3" s="1"/>
  <c r="S42" i="4"/>
  <c r="G24" i="3" s="1"/>
  <c r="M24" i="3" s="1"/>
  <c r="R42" i="4"/>
  <c r="G23" i="3" s="1"/>
  <c r="M23" i="3" s="1"/>
  <c r="Q42" i="4"/>
  <c r="G22" i="3" s="1"/>
  <c r="M22" i="3" s="1"/>
  <c r="P42" i="4"/>
  <c r="G21" i="3" s="1"/>
  <c r="M21" i="3" s="1"/>
  <c r="O42" i="4"/>
  <c r="G20" i="3" s="1"/>
  <c r="M20" i="3" s="1"/>
  <c r="N42" i="4"/>
  <c r="G19" i="3" s="1"/>
  <c r="M19" i="3" s="1"/>
  <c r="M42" i="4"/>
  <c r="G18" i="3" s="1"/>
  <c r="M18" i="3" s="1"/>
  <c r="L42" i="4"/>
  <c r="G17" i="3" s="1"/>
  <c r="M17" i="3" s="1"/>
  <c r="K42" i="4"/>
  <c r="G16" i="3" s="1"/>
  <c r="M16" i="3" s="1"/>
  <c r="J42" i="4"/>
  <c r="G15" i="3" s="1"/>
  <c r="M15" i="3" s="1"/>
  <c r="H42" i="4"/>
  <c r="G13" i="3" s="1"/>
  <c r="M13" i="3" s="1"/>
  <c r="AN33" i="4"/>
  <c r="AN32" i="4"/>
  <c r="AN28" i="4"/>
  <c r="AN27" i="4"/>
  <c r="AN26" i="4"/>
  <c r="AN25" i="4"/>
  <c r="AN24" i="4"/>
  <c r="AN23" i="4"/>
  <c r="AN22" i="4"/>
  <c r="AN21" i="4"/>
  <c r="AN20" i="4"/>
  <c r="AO20" i="4"/>
  <c r="AN19" i="4"/>
  <c r="AN18" i="4"/>
  <c r="AN17" i="4"/>
  <c r="AO17" i="4"/>
  <c r="AN16" i="4"/>
  <c r="AN15" i="4"/>
  <c r="AN14" i="4"/>
  <c r="AN13" i="4"/>
  <c r="AN12" i="4"/>
  <c r="AN11" i="4"/>
  <c r="AN10" i="4"/>
  <c r="AN9" i="4"/>
  <c r="AN8" i="4"/>
  <c r="AN7" i="4"/>
  <c r="AN6" i="4"/>
  <c r="AN5" i="4"/>
  <c r="G8" i="3"/>
  <c r="G7" i="3"/>
  <c r="AE37" i="2"/>
  <c r="Y37" i="2"/>
  <c r="G30" i="1" s="1"/>
  <c r="M30" i="1" s="1"/>
  <c r="T37" i="2"/>
  <c r="G25" i="1" s="1"/>
  <c r="M25" i="1" s="1"/>
  <c r="S37" i="2"/>
  <c r="G24" i="1" s="1"/>
  <c r="M24" i="1" s="1"/>
  <c r="R37" i="2"/>
  <c r="G23" i="1" s="1"/>
  <c r="M23" i="1" s="1"/>
  <c r="Q37" i="2"/>
  <c r="G22" i="1" s="1"/>
  <c r="M22" i="1" s="1"/>
  <c r="P37" i="2"/>
  <c r="G21" i="1" s="1"/>
  <c r="M21" i="1" s="1"/>
  <c r="O37" i="2"/>
  <c r="G20" i="1" s="1"/>
  <c r="M20" i="1" s="1"/>
  <c r="N37" i="2"/>
  <c r="G19" i="1" s="1"/>
  <c r="M19" i="1" s="1"/>
  <c r="M37" i="2"/>
  <c r="G18" i="1" s="1"/>
  <c r="M18" i="1" s="1"/>
  <c r="L37" i="2"/>
  <c r="G17" i="1" s="1"/>
  <c r="M17" i="1" s="1"/>
  <c r="K43" i="1"/>
  <c r="I37" i="2"/>
  <c r="G14" i="1" s="1"/>
  <c r="M14" i="1" s="1"/>
  <c r="J37" i="2"/>
  <c r="G15" i="1" s="1"/>
  <c r="M15" i="1" s="1"/>
  <c r="K37" i="2"/>
  <c r="G16" i="1" s="1"/>
  <c r="M16" i="1" s="1"/>
  <c r="U37" i="2"/>
  <c r="G26" i="1" s="1"/>
  <c r="M26" i="1" s="1"/>
  <c r="V37" i="2"/>
  <c r="G27" i="1" s="1"/>
  <c r="W37" i="2"/>
  <c r="G28" i="1" s="1"/>
  <c r="M28" i="1" s="1"/>
  <c r="X37" i="2"/>
  <c r="G29" i="1" s="1"/>
  <c r="M29" i="1" s="1"/>
  <c r="Z37" i="2"/>
  <c r="G31" i="1" s="1"/>
  <c r="M31" i="1" s="1"/>
  <c r="AA37" i="2"/>
  <c r="G32" i="1" s="1"/>
  <c r="M32" i="1" s="1"/>
  <c r="AB37" i="2"/>
  <c r="G33" i="1" s="1"/>
  <c r="M33" i="1" s="1"/>
  <c r="AC37" i="2"/>
  <c r="G34" i="1" s="1"/>
  <c r="M34" i="1" s="1"/>
  <c r="AD37" i="2"/>
  <c r="G35" i="1" s="1"/>
  <c r="M35" i="1" s="1"/>
  <c r="G36" i="1"/>
  <c r="M36" i="1" s="1"/>
  <c r="AF37" i="2"/>
  <c r="G37" i="1" s="1"/>
  <c r="M37" i="1" s="1"/>
  <c r="AG37" i="2"/>
  <c r="G38" i="1" s="1"/>
  <c r="M38" i="1" s="1"/>
  <c r="AH37" i="2"/>
  <c r="G39" i="1" s="1"/>
  <c r="M39" i="1" s="1"/>
  <c r="AI37" i="2"/>
  <c r="G40" i="1" s="1"/>
  <c r="M40" i="1" s="1"/>
  <c r="AJ37" i="2"/>
  <c r="G41" i="1" s="1"/>
  <c r="M41" i="1" s="1"/>
  <c r="AK37" i="2"/>
  <c r="G42" i="1" s="1"/>
  <c r="M42" i="1" s="1"/>
  <c r="H37" i="2"/>
  <c r="G13" i="1" s="1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L6" i="2"/>
  <c r="AN6" i="2" s="1"/>
  <c r="AL7" i="2"/>
  <c r="AN7" i="2" s="1"/>
  <c r="AL8" i="2"/>
  <c r="AN8" i="2" s="1"/>
  <c r="AL9" i="2"/>
  <c r="AN9" i="2" s="1"/>
  <c r="AL10" i="2"/>
  <c r="AN10" i="2" s="1"/>
  <c r="AL11" i="2"/>
  <c r="AN11" i="2" s="1"/>
  <c r="AL12" i="2"/>
  <c r="AN12" i="2" s="1"/>
  <c r="AL13" i="2"/>
  <c r="AN13" i="2" s="1"/>
  <c r="AL14" i="2"/>
  <c r="AN14" i="2" s="1"/>
  <c r="AL15" i="2"/>
  <c r="AN15" i="2" s="1"/>
  <c r="AL16" i="2"/>
  <c r="AN16" i="2" s="1"/>
  <c r="AL17" i="2"/>
  <c r="AN17" i="2" s="1"/>
  <c r="AL18" i="2"/>
  <c r="AN18" i="2" s="1"/>
  <c r="AL19" i="2"/>
  <c r="AN19" i="2" s="1"/>
  <c r="AL20" i="2"/>
  <c r="AN20" i="2" s="1"/>
  <c r="AL21" i="2"/>
  <c r="AN21" i="2" s="1"/>
  <c r="AL22" i="2"/>
  <c r="AN22" i="2" s="1"/>
  <c r="AL23" i="2"/>
  <c r="AN23" i="2" s="1"/>
  <c r="AL24" i="2"/>
  <c r="AN24" i="2" s="1"/>
  <c r="AL25" i="2"/>
  <c r="AN25" i="2" s="1"/>
  <c r="AL26" i="2"/>
  <c r="AN26" i="2" s="1"/>
  <c r="AL27" i="2"/>
  <c r="AN27" i="2" s="1"/>
  <c r="AL28" i="2"/>
  <c r="AN28" i="2" s="1"/>
  <c r="AL29" i="2"/>
  <c r="AN29" i="2" s="1"/>
  <c r="AL30" i="2"/>
  <c r="AN30" i="2" s="1"/>
  <c r="AL31" i="2"/>
  <c r="AN31" i="2" s="1"/>
  <c r="AL32" i="2"/>
  <c r="AL33" i="2"/>
  <c r="AN33" i="2" s="1"/>
  <c r="AL34" i="2"/>
  <c r="AN34" i="2" s="1"/>
  <c r="AL35" i="2"/>
  <c r="AN35" i="2" s="1"/>
  <c r="AM5" i="2"/>
  <c r="AL5" i="2"/>
  <c r="AN5" i="2" s="1"/>
  <c r="G8" i="1"/>
  <c r="G7" i="1"/>
  <c r="D14" i="5" l="1"/>
  <c r="E14" i="5" s="1"/>
  <c r="D13" i="7"/>
  <c r="D39" i="9"/>
  <c r="E39" i="9" s="1"/>
  <c r="AO38" i="10"/>
  <c r="H13" i="9"/>
  <c r="D16" i="9"/>
  <c r="E16" i="9" s="1"/>
  <c r="D20" i="9"/>
  <c r="E20" i="9" s="1"/>
  <c r="D24" i="9"/>
  <c r="E24" i="9" s="1"/>
  <c r="D28" i="9"/>
  <c r="E28" i="9" s="1"/>
  <c r="D32" i="9"/>
  <c r="E32" i="9" s="1"/>
  <c r="D36" i="9"/>
  <c r="E36" i="9" s="1"/>
  <c r="D40" i="9"/>
  <c r="E40" i="9" s="1"/>
  <c r="M13" i="9"/>
  <c r="D17" i="9"/>
  <c r="E17" i="9" s="1"/>
  <c r="D21" i="9"/>
  <c r="E21" i="9" s="1"/>
  <c r="D25" i="9"/>
  <c r="E25" i="9" s="1"/>
  <c r="D29" i="9"/>
  <c r="E29" i="9" s="1"/>
  <c r="D33" i="9"/>
  <c r="E33" i="9" s="1"/>
  <c r="D37" i="9"/>
  <c r="E37" i="9" s="1"/>
  <c r="D41" i="9"/>
  <c r="E41" i="9" s="1"/>
  <c r="E13" i="9"/>
  <c r="D14" i="9"/>
  <c r="E14" i="9" s="1"/>
  <c r="D18" i="9"/>
  <c r="E18" i="9" s="1"/>
  <c r="D22" i="9"/>
  <c r="E22" i="9" s="1"/>
  <c r="D26" i="9"/>
  <c r="E26" i="9" s="1"/>
  <c r="D30" i="9"/>
  <c r="E30" i="9" s="1"/>
  <c r="D34" i="9"/>
  <c r="E34" i="9" s="1"/>
  <c r="D38" i="9"/>
  <c r="E38" i="9" s="1"/>
  <c r="D42" i="9"/>
  <c r="E42" i="9" s="1"/>
  <c r="D15" i="9"/>
  <c r="E15" i="9" s="1"/>
  <c r="D19" i="9"/>
  <c r="E19" i="9" s="1"/>
  <c r="D23" i="9"/>
  <c r="E23" i="9" s="1"/>
  <c r="D27" i="9"/>
  <c r="E27" i="9" s="1"/>
  <c r="D31" i="9"/>
  <c r="E31" i="9" s="1"/>
  <c r="D35" i="9"/>
  <c r="E35" i="9" s="1"/>
  <c r="D39" i="7"/>
  <c r="E39" i="7" s="1"/>
  <c r="D14" i="7"/>
  <c r="E14" i="7" s="1"/>
  <c r="AM38" i="8"/>
  <c r="AO38" i="8"/>
  <c r="D21" i="7"/>
  <c r="E21" i="7" s="1"/>
  <c r="D25" i="7"/>
  <c r="E25" i="7" s="1"/>
  <c r="E13" i="7"/>
  <c r="H13" i="7"/>
  <c r="D16" i="7"/>
  <c r="E16" i="7" s="1"/>
  <c r="D20" i="7"/>
  <c r="E20" i="7" s="1"/>
  <c r="D24" i="7"/>
  <c r="E24" i="7" s="1"/>
  <c r="D28" i="7"/>
  <c r="E28" i="7" s="1"/>
  <c r="D32" i="7"/>
  <c r="E32" i="7" s="1"/>
  <c r="D36" i="7"/>
  <c r="E36" i="7" s="1"/>
  <c r="D40" i="7"/>
  <c r="E40" i="7" s="1"/>
  <c r="D17" i="7"/>
  <c r="E17" i="7" s="1"/>
  <c r="D33" i="7"/>
  <c r="E33" i="7" s="1"/>
  <c r="D41" i="7"/>
  <c r="E41" i="7" s="1"/>
  <c r="D29" i="7"/>
  <c r="E29" i="7" s="1"/>
  <c r="D37" i="7"/>
  <c r="E37" i="7" s="1"/>
  <c r="D30" i="7"/>
  <c r="E30" i="7" s="1"/>
  <c r="D34" i="7"/>
  <c r="E34" i="7" s="1"/>
  <c r="D38" i="7"/>
  <c r="E38" i="7" s="1"/>
  <c r="D42" i="7"/>
  <c r="E42" i="7" s="1"/>
  <c r="D18" i="7"/>
  <c r="E18" i="7" s="1"/>
  <c r="D22" i="7"/>
  <c r="E22" i="7" s="1"/>
  <c r="D26" i="7"/>
  <c r="E26" i="7" s="1"/>
  <c r="D15" i="7"/>
  <c r="E15" i="7" s="1"/>
  <c r="D19" i="7"/>
  <c r="E19" i="7" s="1"/>
  <c r="D23" i="7"/>
  <c r="E23" i="7" s="1"/>
  <c r="D27" i="7"/>
  <c r="E27" i="7" s="1"/>
  <c r="D31" i="7"/>
  <c r="E31" i="7" s="1"/>
  <c r="D35" i="7"/>
  <c r="E35" i="7" s="1"/>
  <c r="M43" i="3"/>
  <c r="G9" i="3"/>
  <c r="AN41" i="6"/>
  <c r="D39" i="5"/>
  <c r="E39" i="5" s="1"/>
  <c r="H13" i="5"/>
  <c r="H14" i="5" s="1"/>
  <c r="J14" i="5" s="1"/>
  <c r="D38" i="5"/>
  <c r="E38" i="5" s="1"/>
  <c r="D22" i="5"/>
  <c r="E22" i="5" s="1"/>
  <c r="D28" i="5"/>
  <c r="E28" i="5" s="1"/>
  <c r="AO41" i="6"/>
  <c r="AM41" i="6"/>
  <c r="D16" i="5"/>
  <c r="E16" i="5" s="1"/>
  <c r="M16" i="5"/>
  <c r="D20" i="5"/>
  <c r="E20" i="5" s="1"/>
  <c r="D24" i="5"/>
  <c r="E24" i="5" s="1"/>
  <c r="D40" i="5"/>
  <c r="E40" i="5" s="1"/>
  <c r="D32" i="5"/>
  <c r="E32" i="5" s="1"/>
  <c r="D36" i="5"/>
  <c r="E36" i="5" s="1"/>
  <c r="D13" i="5"/>
  <c r="M13" i="5"/>
  <c r="D17" i="5"/>
  <c r="E17" i="5" s="1"/>
  <c r="D21" i="5"/>
  <c r="E21" i="5" s="1"/>
  <c r="D25" i="5"/>
  <c r="E25" i="5" s="1"/>
  <c r="D29" i="5"/>
  <c r="E29" i="5" s="1"/>
  <c r="D33" i="5"/>
  <c r="E33" i="5" s="1"/>
  <c r="D37" i="5"/>
  <c r="E37" i="5" s="1"/>
  <c r="D41" i="5"/>
  <c r="E41" i="5" s="1"/>
  <c r="D18" i="5"/>
  <c r="E18" i="5" s="1"/>
  <c r="D42" i="5"/>
  <c r="E42" i="5" s="1"/>
  <c r="D26" i="5"/>
  <c r="E26" i="5" s="1"/>
  <c r="D30" i="5"/>
  <c r="E30" i="5" s="1"/>
  <c r="D34" i="5"/>
  <c r="E34" i="5" s="1"/>
  <c r="D15" i="5"/>
  <c r="E15" i="5" s="1"/>
  <c r="D19" i="5"/>
  <c r="E19" i="5" s="1"/>
  <c r="D23" i="5"/>
  <c r="E23" i="5" s="1"/>
  <c r="D27" i="5"/>
  <c r="E27" i="5" s="1"/>
  <c r="D31" i="5"/>
  <c r="E31" i="5" s="1"/>
  <c r="D35" i="5"/>
  <c r="E35" i="5" s="1"/>
  <c r="AM42" i="4"/>
  <c r="D41" i="3"/>
  <c r="E41" i="3" s="1"/>
  <c r="AN42" i="4"/>
  <c r="AO5" i="4"/>
  <c r="AO42" i="4" s="1"/>
  <c r="D14" i="3"/>
  <c r="E14" i="3" s="1"/>
  <c r="D18" i="3"/>
  <c r="E18" i="3" s="1"/>
  <c r="D22" i="3"/>
  <c r="E22" i="3" s="1"/>
  <c r="D26" i="3"/>
  <c r="E26" i="3" s="1"/>
  <c r="D30" i="3"/>
  <c r="E30" i="3" s="1"/>
  <c r="D34" i="3"/>
  <c r="E34" i="3" s="1"/>
  <c r="D38" i="3"/>
  <c r="E38" i="3" s="1"/>
  <c r="D42" i="3"/>
  <c r="E42" i="3" s="1"/>
  <c r="D15" i="3"/>
  <c r="E15" i="3" s="1"/>
  <c r="D19" i="3"/>
  <c r="E19" i="3" s="1"/>
  <c r="D23" i="3"/>
  <c r="E23" i="3" s="1"/>
  <c r="D27" i="3"/>
  <c r="E27" i="3" s="1"/>
  <c r="D31" i="3"/>
  <c r="E31" i="3" s="1"/>
  <c r="D35" i="3"/>
  <c r="E35" i="3" s="1"/>
  <c r="D39" i="3"/>
  <c r="E39" i="3" s="1"/>
  <c r="H13" i="3"/>
  <c r="D16" i="3"/>
  <c r="E16" i="3" s="1"/>
  <c r="D20" i="3"/>
  <c r="E20" i="3" s="1"/>
  <c r="D24" i="3"/>
  <c r="E24" i="3" s="1"/>
  <c r="D28" i="3"/>
  <c r="E28" i="3" s="1"/>
  <c r="D32" i="3"/>
  <c r="E32" i="3" s="1"/>
  <c r="D36" i="3"/>
  <c r="E36" i="3" s="1"/>
  <c r="D40" i="3"/>
  <c r="E40" i="3" s="1"/>
  <c r="D13" i="3"/>
  <c r="D17" i="3"/>
  <c r="E17" i="3" s="1"/>
  <c r="D21" i="3"/>
  <c r="E21" i="3" s="1"/>
  <c r="D25" i="3"/>
  <c r="E25" i="3" s="1"/>
  <c r="D29" i="3"/>
  <c r="E29" i="3" s="1"/>
  <c r="D33" i="3"/>
  <c r="E33" i="3" s="1"/>
  <c r="D37" i="3"/>
  <c r="E37" i="3" s="1"/>
  <c r="D13" i="1"/>
  <c r="E13" i="1" s="1"/>
  <c r="M13" i="1"/>
  <c r="M27" i="1"/>
  <c r="M43" i="1"/>
  <c r="H13" i="1"/>
  <c r="J13" i="1" s="1"/>
  <c r="D15" i="1"/>
  <c r="E15" i="1" s="1"/>
  <c r="AM37" i="2"/>
  <c r="D39" i="1"/>
  <c r="E39" i="1" s="1"/>
  <c r="D27" i="1"/>
  <c r="E27" i="1" s="1"/>
  <c r="D16" i="1"/>
  <c r="E16" i="1" s="1"/>
  <c r="D28" i="1"/>
  <c r="E28" i="1" s="1"/>
  <c r="D17" i="1"/>
  <c r="E17" i="1" s="1"/>
  <c r="D29" i="1"/>
  <c r="E29" i="1" s="1"/>
  <c r="D41" i="1"/>
  <c r="E41" i="1" s="1"/>
  <c r="D18" i="1"/>
  <c r="E18" i="1" s="1"/>
  <c r="D30" i="1"/>
  <c r="E30" i="1" s="1"/>
  <c r="D42" i="1"/>
  <c r="E42" i="1" s="1"/>
  <c r="D19" i="1"/>
  <c r="E19" i="1" s="1"/>
  <c r="D31" i="1"/>
  <c r="E31" i="1" s="1"/>
  <c r="D20" i="1"/>
  <c r="E20" i="1" s="1"/>
  <c r="D32" i="1"/>
  <c r="E32" i="1" s="1"/>
  <c r="D21" i="1"/>
  <c r="E21" i="1" s="1"/>
  <c r="D33" i="1"/>
  <c r="E33" i="1" s="1"/>
  <c r="D22" i="1"/>
  <c r="E22" i="1" s="1"/>
  <c r="D34" i="1"/>
  <c r="E34" i="1" s="1"/>
  <c r="D23" i="1"/>
  <c r="E23" i="1" s="1"/>
  <c r="D35" i="1"/>
  <c r="E35" i="1" s="1"/>
  <c r="D24" i="1"/>
  <c r="E24" i="1" s="1"/>
  <c r="D36" i="1"/>
  <c r="E36" i="1" s="1"/>
  <c r="D25" i="1"/>
  <c r="E25" i="1" s="1"/>
  <c r="D37" i="1"/>
  <c r="E37" i="1" s="1"/>
  <c r="D14" i="1"/>
  <c r="E14" i="1" s="1"/>
  <c r="D26" i="1"/>
  <c r="E26" i="1" s="1"/>
  <c r="AL37" i="2"/>
  <c r="AN32" i="2"/>
  <c r="AN37" i="2" s="1"/>
  <c r="G9" i="1"/>
  <c r="D43" i="9" l="1"/>
  <c r="E43" i="9" s="1"/>
  <c r="J13" i="9"/>
  <c r="H14" i="9"/>
  <c r="I13" i="9"/>
  <c r="D43" i="7"/>
  <c r="E43" i="7" s="1"/>
  <c r="I13" i="7"/>
  <c r="H14" i="7"/>
  <c r="J13" i="7"/>
  <c r="I14" i="5"/>
  <c r="J13" i="5"/>
  <c r="K13" i="5" s="1"/>
  <c r="H15" i="5"/>
  <c r="H16" i="5" s="1"/>
  <c r="I13" i="5"/>
  <c r="J15" i="5"/>
  <c r="D43" i="5"/>
  <c r="E43" i="5" s="1"/>
  <c r="E13" i="5"/>
  <c r="L14" i="5"/>
  <c r="K14" i="5"/>
  <c r="I13" i="1"/>
  <c r="H14" i="1"/>
  <c r="J14" i="1" s="1"/>
  <c r="K14" i="1" s="1"/>
  <c r="D43" i="3"/>
  <c r="E43" i="3" s="1"/>
  <c r="E13" i="3"/>
  <c r="H14" i="3"/>
  <c r="I13" i="3"/>
  <c r="J13" i="3"/>
  <c r="D38" i="1"/>
  <c r="E38" i="1" s="1"/>
  <c r="D40" i="1"/>
  <c r="E40" i="1" s="1"/>
  <c r="I14" i="1"/>
  <c r="H15" i="1"/>
  <c r="J15" i="1" s="1"/>
  <c r="K15" i="1" s="1"/>
  <c r="L14" i="1"/>
  <c r="K13" i="1"/>
  <c r="L13" i="1"/>
  <c r="J14" i="9" l="1"/>
  <c r="H15" i="9"/>
  <c r="I14" i="9"/>
  <c r="K13" i="9"/>
  <c r="L13" i="9"/>
  <c r="K13" i="7"/>
  <c r="L13" i="7"/>
  <c r="J14" i="7"/>
  <c r="H15" i="7"/>
  <c r="I14" i="7"/>
  <c r="I15" i="5"/>
  <c r="L13" i="5"/>
  <c r="L15" i="5"/>
  <c r="K15" i="5"/>
  <c r="J16" i="5"/>
  <c r="H17" i="5"/>
  <c r="I16" i="5"/>
  <c r="J14" i="3"/>
  <c r="H15" i="3"/>
  <c r="I14" i="3"/>
  <c r="L13" i="3"/>
  <c r="K13" i="3"/>
  <c r="D43" i="1"/>
  <c r="L15" i="1"/>
  <c r="H16" i="1"/>
  <c r="H17" i="1" s="1"/>
  <c r="I15" i="1"/>
  <c r="L14" i="9" l="1"/>
  <c r="K14" i="9"/>
  <c r="H16" i="9"/>
  <c r="I15" i="9"/>
  <c r="J15" i="9"/>
  <c r="H16" i="7"/>
  <c r="I15" i="7"/>
  <c r="J15" i="7"/>
  <c r="L14" i="7"/>
  <c r="K14" i="7"/>
  <c r="J17" i="5"/>
  <c r="H18" i="5"/>
  <c r="I17" i="5"/>
  <c r="L16" i="5"/>
  <c r="K16" i="5"/>
  <c r="J15" i="3"/>
  <c r="H16" i="3"/>
  <c r="I15" i="3"/>
  <c r="L14" i="3"/>
  <c r="K14" i="3"/>
  <c r="I16" i="1"/>
  <c r="J16" i="1"/>
  <c r="K16" i="1" s="1"/>
  <c r="J17" i="1"/>
  <c r="K17" i="1" s="1"/>
  <c r="I17" i="1"/>
  <c r="H18" i="1"/>
  <c r="L15" i="9" l="1"/>
  <c r="K15" i="9"/>
  <c r="J16" i="9"/>
  <c r="H17" i="9"/>
  <c r="I16" i="9"/>
  <c r="J16" i="7"/>
  <c r="H17" i="7"/>
  <c r="I16" i="7"/>
  <c r="L15" i="7"/>
  <c r="K15" i="7"/>
  <c r="J18" i="5"/>
  <c r="H19" i="5"/>
  <c r="I18" i="5"/>
  <c r="K17" i="5"/>
  <c r="L17" i="5"/>
  <c r="J16" i="3"/>
  <c r="H17" i="3"/>
  <c r="I16" i="3"/>
  <c r="K15" i="3"/>
  <c r="L15" i="3"/>
  <c r="L17" i="1"/>
  <c r="L16" i="1"/>
  <c r="J18" i="1"/>
  <c r="K18" i="1" s="1"/>
  <c r="I18" i="1"/>
  <c r="H19" i="1"/>
  <c r="J17" i="9" l="1"/>
  <c r="H18" i="9"/>
  <c r="I17" i="9"/>
  <c r="L16" i="9"/>
  <c r="K16" i="9"/>
  <c r="L16" i="7"/>
  <c r="K16" i="7"/>
  <c r="J17" i="7"/>
  <c r="H18" i="7"/>
  <c r="I17" i="7"/>
  <c r="H20" i="5"/>
  <c r="I19" i="5"/>
  <c r="J19" i="5"/>
  <c r="L18" i="5"/>
  <c r="K18" i="5"/>
  <c r="H18" i="3"/>
  <c r="I17" i="3"/>
  <c r="J17" i="3"/>
  <c r="L16" i="3"/>
  <c r="K16" i="3"/>
  <c r="L18" i="1"/>
  <c r="H20" i="1"/>
  <c r="J19" i="1"/>
  <c r="K19" i="1" s="1"/>
  <c r="I19" i="1"/>
  <c r="K17" i="9" l="1"/>
  <c r="L17" i="9"/>
  <c r="J18" i="9"/>
  <c r="H19" i="9"/>
  <c r="I18" i="9"/>
  <c r="J18" i="7"/>
  <c r="H19" i="7"/>
  <c r="I18" i="7"/>
  <c r="K17" i="7"/>
  <c r="L17" i="7"/>
  <c r="L19" i="5"/>
  <c r="K19" i="5"/>
  <c r="J20" i="5"/>
  <c r="H21" i="5"/>
  <c r="I20" i="5"/>
  <c r="L17" i="3"/>
  <c r="K17" i="3"/>
  <c r="J18" i="3"/>
  <c r="H19" i="3"/>
  <c r="I18" i="3"/>
  <c r="L19" i="1"/>
  <c r="J20" i="1"/>
  <c r="K20" i="1" s="1"/>
  <c r="H21" i="1"/>
  <c r="I20" i="1"/>
  <c r="H20" i="9" l="1"/>
  <c r="I19" i="9"/>
  <c r="J19" i="9"/>
  <c r="L18" i="9"/>
  <c r="K18" i="9"/>
  <c r="K18" i="7"/>
  <c r="L18" i="7"/>
  <c r="H20" i="7"/>
  <c r="I19" i="7"/>
  <c r="J19" i="7"/>
  <c r="J21" i="5"/>
  <c r="H22" i="5"/>
  <c r="I21" i="5"/>
  <c r="L20" i="5"/>
  <c r="K20" i="5"/>
  <c r="J19" i="3"/>
  <c r="H20" i="3"/>
  <c r="I19" i="3"/>
  <c r="L18" i="3"/>
  <c r="K18" i="3"/>
  <c r="L20" i="1"/>
  <c r="J21" i="1"/>
  <c r="K21" i="1" s="1"/>
  <c r="I21" i="1"/>
  <c r="H22" i="1"/>
  <c r="J20" i="9" l="1"/>
  <c r="H21" i="9"/>
  <c r="I20" i="9"/>
  <c r="L19" i="9"/>
  <c r="K19" i="9"/>
  <c r="L19" i="7"/>
  <c r="K19" i="7"/>
  <c r="J20" i="7"/>
  <c r="H21" i="7"/>
  <c r="I20" i="7"/>
  <c r="J22" i="5"/>
  <c r="H23" i="5"/>
  <c r="I22" i="5"/>
  <c r="K21" i="5"/>
  <c r="L21" i="5"/>
  <c r="J20" i="3"/>
  <c r="H21" i="3"/>
  <c r="I20" i="3"/>
  <c r="K19" i="3"/>
  <c r="L19" i="3"/>
  <c r="L21" i="1"/>
  <c r="J22" i="1"/>
  <c r="K22" i="1" s="1"/>
  <c r="H23" i="1"/>
  <c r="I22" i="1"/>
  <c r="L20" i="9" l="1"/>
  <c r="K20" i="9"/>
  <c r="J21" i="9"/>
  <c r="H22" i="9"/>
  <c r="I21" i="9"/>
  <c r="J21" i="7"/>
  <c r="H22" i="7"/>
  <c r="I21" i="7"/>
  <c r="L20" i="7"/>
  <c r="K20" i="7"/>
  <c r="H24" i="5"/>
  <c r="I23" i="5"/>
  <c r="J23" i="5"/>
  <c r="L22" i="5"/>
  <c r="K22" i="5"/>
  <c r="H22" i="3"/>
  <c r="I21" i="3"/>
  <c r="J21" i="3"/>
  <c r="L20" i="3"/>
  <c r="K20" i="3"/>
  <c r="L22" i="1"/>
  <c r="H24" i="1"/>
  <c r="J23" i="1"/>
  <c r="K23" i="1" s="1"/>
  <c r="I23" i="1"/>
  <c r="J22" i="9" l="1"/>
  <c r="H23" i="9"/>
  <c r="I22" i="9"/>
  <c r="K21" i="9"/>
  <c r="L21" i="9"/>
  <c r="K21" i="7"/>
  <c r="L21" i="7"/>
  <c r="J22" i="7"/>
  <c r="H23" i="7"/>
  <c r="I22" i="7"/>
  <c r="L23" i="5"/>
  <c r="K23" i="5"/>
  <c r="J24" i="5"/>
  <c r="H25" i="5"/>
  <c r="I24" i="5"/>
  <c r="L21" i="3"/>
  <c r="K21" i="3"/>
  <c r="J22" i="3"/>
  <c r="H23" i="3"/>
  <c r="I22" i="3"/>
  <c r="L23" i="1"/>
  <c r="J24" i="1"/>
  <c r="K24" i="1" s="1"/>
  <c r="I24" i="1"/>
  <c r="H25" i="1"/>
  <c r="L22" i="9" l="1"/>
  <c r="K22" i="9"/>
  <c r="H24" i="9"/>
  <c r="I23" i="9"/>
  <c r="J23" i="9"/>
  <c r="H24" i="7"/>
  <c r="I23" i="7"/>
  <c r="J23" i="7"/>
  <c r="L22" i="7"/>
  <c r="K22" i="7"/>
  <c r="J25" i="5"/>
  <c r="H26" i="5"/>
  <c r="I25" i="5"/>
  <c r="L24" i="5"/>
  <c r="K24" i="5"/>
  <c r="J23" i="3"/>
  <c r="H24" i="3"/>
  <c r="I23" i="3"/>
  <c r="L22" i="3"/>
  <c r="K22" i="3"/>
  <c r="L24" i="1"/>
  <c r="J25" i="1"/>
  <c r="K25" i="1" s="1"/>
  <c r="I25" i="1"/>
  <c r="H26" i="1"/>
  <c r="J24" i="9" l="1"/>
  <c r="H25" i="9"/>
  <c r="I24" i="9"/>
  <c r="L23" i="9"/>
  <c r="K23" i="9"/>
  <c r="L23" i="7"/>
  <c r="K23" i="7"/>
  <c r="J24" i="7"/>
  <c r="H25" i="7"/>
  <c r="I24" i="7"/>
  <c r="J26" i="5"/>
  <c r="H27" i="5"/>
  <c r="I26" i="5"/>
  <c r="K25" i="5"/>
  <c r="L25" i="5"/>
  <c r="J24" i="3"/>
  <c r="H25" i="3"/>
  <c r="I24" i="3"/>
  <c r="K23" i="3"/>
  <c r="L23" i="3"/>
  <c r="L25" i="1"/>
  <c r="J26" i="1"/>
  <c r="K26" i="1" s="1"/>
  <c r="H27" i="1"/>
  <c r="I26" i="1"/>
  <c r="J25" i="9" l="1"/>
  <c r="H26" i="9"/>
  <c r="I25" i="9"/>
  <c r="L24" i="9"/>
  <c r="K24" i="9"/>
  <c r="J25" i="7"/>
  <c r="I25" i="7"/>
  <c r="H26" i="7"/>
  <c r="L24" i="7"/>
  <c r="K24" i="7"/>
  <c r="H28" i="5"/>
  <c r="I27" i="5"/>
  <c r="J27" i="5"/>
  <c r="L26" i="5"/>
  <c r="K26" i="5"/>
  <c r="H26" i="3"/>
  <c r="I25" i="3"/>
  <c r="J25" i="3"/>
  <c r="L24" i="3"/>
  <c r="K24" i="3"/>
  <c r="L26" i="1"/>
  <c r="H28" i="1"/>
  <c r="J27" i="1"/>
  <c r="K27" i="1" s="1"/>
  <c r="I27" i="1"/>
  <c r="J26" i="9" l="1"/>
  <c r="H27" i="9"/>
  <c r="I26" i="9"/>
  <c r="K25" i="9"/>
  <c r="L25" i="9"/>
  <c r="K25" i="7"/>
  <c r="L25" i="7"/>
  <c r="J26" i="7"/>
  <c r="H27" i="7"/>
  <c r="I26" i="7"/>
  <c r="L27" i="5"/>
  <c r="K27" i="5"/>
  <c r="J28" i="5"/>
  <c r="H29" i="5"/>
  <c r="I28" i="5"/>
  <c r="L25" i="3"/>
  <c r="K25" i="3"/>
  <c r="J26" i="3"/>
  <c r="H27" i="3"/>
  <c r="I26" i="3"/>
  <c r="L27" i="1"/>
  <c r="J28" i="1"/>
  <c r="K28" i="1" s="1"/>
  <c r="I28" i="1"/>
  <c r="H29" i="1"/>
  <c r="H28" i="9" l="1"/>
  <c r="I27" i="9"/>
  <c r="J27" i="9"/>
  <c r="L26" i="9"/>
  <c r="K26" i="9"/>
  <c r="H28" i="7"/>
  <c r="I27" i="7"/>
  <c r="J27" i="7"/>
  <c r="K26" i="7"/>
  <c r="L26" i="7"/>
  <c r="J29" i="5"/>
  <c r="H30" i="5"/>
  <c r="I29" i="5"/>
  <c r="L28" i="5"/>
  <c r="K28" i="5"/>
  <c r="J27" i="3"/>
  <c r="H28" i="3"/>
  <c r="I27" i="3"/>
  <c r="L26" i="3"/>
  <c r="K26" i="3"/>
  <c r="L28" i="1"/>
  <c r="J29" i="1"/>
  <c r="K29" i="1" s="1"/>
  <c r="I29" i="1"/>
  <c r="H30" i="1"/>
  <c r="L27" i="9" l="1"/>
  <c r="K27" i="9"/>
  <c r="J28" i="9"/>
  <c r="H29" i="9"/>
  <c r="I28" i="9"/>
  <c r="L27" i="7"/>
  <c r="K27" i="7"/>
  <c r="H29" i="7"/>
  <c r="I28" i="7"/>
  <c r="J28" i="7"/>
  <c r="J30" i="5"/>
  <c r="H31" i="5"/>
  <c r="I30" i="5"/>
  <c r="K29" i="5"/>
  <c r="L29" i="5"/>
  <c r="J28" i="3"/>
  <c r="H29" i="3"/>
  <c r="I28" i="3"/>
  <c r="K27" i="3"/>
  <c r="L27" i="3"/>
  <c r="L29" i="1"/>
  <c r="J30" i="1"/>
  <c r="K30" i="1" s="1"/>
  <c r="H31" i="1"/>
  <c r="I30" i="1"/>
  <c r="J29" i="9" l="1"/>
  <c r="H30" i="9"/>
  <c r="I29" i="9"/>
  <c r="L28" i="9"/>
  <c r="K28" i="9"/>
  <c r="J29" i="7"/>
  <c r="H30" i="7"/>
  <c r="I29" i="7"/>
  <c r="L28" i="7"/>
  <c r="K28" i="7"/>
  <c r="H32" i="5"/>
  <c r="I31" i="5"/>
  <c r="J31" i="5"/>
  <c r="L30" i="5"/>
  <c r="K30" i="5"/>
  <c r="H30" i="3"/>
  <c r="I29" i="3"/>
  <c r="J29" i="3"/>
  <c r="L28" i="3"/>
  <c r="K28" i="3"/>
  <c r="L30" i="1"/>
  <c r="J31" i="1"/>
  <c r="K31" i="1" s="1"/>
  <c r="H32" i="1"/>
  <c r="I31" i="1"/>
  <c r="J30" i="9" l="1"/>
  <c r="H31" i="9"/>
  <c r="I30" i="9"/>
  <c r="K29" i="9"/>
  <c r="L29" i="9"/>
  <c r="K29" i="7"/>
  <c r="L29" i="7"/>
  <c r="J30" i="7"/>
  <c r="H31" i="7"/>
  <c r="I30" i="7"/>
  <c r="L31" i="5"/>
  <c r="K31" i="5"/>
  <c r="J32" i="5"/>
  <c r="H33" i="5"/>
  <c r="I32" i="5"/>
  <c r="L29" i="3"/>
  <c r="K29" i="3"/>
  <c r="J30" i="3"/>
  <c r="H31" i="3"/>
  <c r="I30" i="3"/>
  <c r="L31" i="1"/>
  <c r="J32" i="1"/>
  <c r="K32" i="1" s="1"/>
  <c r="H33" i="1"/>
  <c r="I32" i="1"/>
  <c r="H32" i="9" l="1"/>
  <c r="I31" i="9"/>
  <c r="J31" i="9"/>
  <c r="L30" i="9"/>
  <c r="K30" i="9"/>
  <c r="H32" i="7"/>
  <c r="I31" i="7"/>
  <c r="J31" i="7"/>
  <c r="K30" i="7"/>
  <c r="L30" i="7"/>
  <c r="J33" i="5"/>
  <c r="H34" i="5"/>
  <c r="I33" i="5"/>
  <c r="L32" i="5"/>
  <c r="K32" i="5"/>
  <c r="J31" i="3"/>
  <c r="H32" i="3"/>
  <c r="I31" i="3"/>
  <c r="L30" i="3"/>
  <c r="K30" i="3"/>
  <c r="L32" i="1"/>
  <c r="I33" i="1"/>
  <c r="H34" i="1"/>
  <c r="J33" i="1"/>
  <c r="K33" i="1" s="1"/>
  <c r="L31" i="9" l="1"/>
  <c r="K31" i="9"/>
  <c r="J32" i="9"/>
  <c r="H33" i="9"/>
  <c r="I32" i="9"/>
  <c r="H33" i="7"/>
  <c r="I32" i="7"/>
  <c r="J32" i="7"/>
  <c r="L31" i="7"/>
  <c r="K31" i="7"/>
  <c r="J34" i="5"/>
  <c r="H35" i="5"/>
  <c r="I34" i="5"/>
  <c r="K33" i="5"/>
  <c r="L33" i="5"/>
  <c r="J32" i="3"/>
  <c r="H33" i="3"/>
  <c r="I32" i="3"/>
  <c r="K31" i="3"/>
  <c r="L31" i="3"/>
  <c r="L33" i="1"/>
  <c r="J34" i="1"/>
  <c r="K34" i="1" s="1"/>
  <c r="I34" i="1"/>
  <c r="H35" i="1"/>
  <c r="J33" i="9" l="1"/>
  <c r="H34" i="9"/>
  <c r="I33" i="9"/>
  <c r="L32" i="9"/>
  <c r="K32" i="9"/>
  <c r="J33" i="7"/>
  <c r="H34" i="7"/>
  <c r="I33" i="7"/>
  <c r="L32" i="7"/>
  <c r="K32" i="7"/>
  <c r="H36" i="5"/>
  <c r="I35" i="5"/>
  <c r="J35" i="5"/>
  <c r="L34" i="5"/>
  <c r="K34" i="5"/>
  <c r="H34" i="3"/>
  <c r="I33" i="3"/>
  <c r="J33" i="3"/>
  <c r="L32" i="3"/>
  <c r="K32" i="3"/>
  <c r="L34" i="1"/>
  <c r="J35" i="1"/>
  <c r="K35" i="1" s="1"/>
  <c r="H36" i="1"/>
  <c r="I35" i="1"/>
  <c r="J34" i="9" l="1"/>
  <c r="H35" i="9"/>
  <c r="I34" i="9"/>
  <c r="K33" i="9"/>
  <c r="L33" i="9"/>
  <c r="K33" i="7"/>
  <c r="L33" i="7"/>
  <c r="J34" i="7"/>
  <c r="H35" i="7"/>
  <c r="I34" i="7"/>
  <c r="L35" i="5"/>
  <c r="K35" i="5"/>
  <c r="J36" i="5"/>
  <c r="H37" i="5"/>
  <c r="I36" i="5"/>
  <c r="L33" i="3"/>
  <c r="K33" i="3"/>
  <c r="J34" i="3"/>
  <c r="H35" i="3"/>
  <c r="I34" i="3"/>
  <c r="L35" i="1"/>
  <c r="J36" i="1"/>
  <c r="K36" i="1" s="1"/>
  <c r="I36" i="1"/>
  <c r="H37" i="1"/>
  <c r="H36" i="9" l="1"/>
  <c r="I35" i="9"/>
  <c r="J35" i="9"/>
  <c r="L34" i="9"/>
  <c r="K34" i="9"/>
  <c r="H36" i="7"/>
  <c r="I35" i="7"/>
  <c r="J35" i="7"/>
  <c r="L34" i="7"/>
  <c r="K34" i="7"/>
  <c r="J37" i="5"/>
  <c r="H38" i="5"/>
  <c r="I37" i="5"/>
  <c r="L36" i="5"/>
  <c r="K36" i="5"/>
  <c r="J35" i="3"/>
  <c r="H36" i="3"/>
  <c r="I35" i="3"/>
  <c r="L34" i="3"/>
  <c r="K34" i="3"/>
  <c r="L36" i="1"/>
  <c r="J37" i="1"/>
  <c r="K37" i="1" s="1"/>
  <c r="H38" i="1"/>
  <c r="I37" i="1"/>
  <c r="L35" i="9" l="1"/>
  <c r="K35" i="9"/>
  <c r="J36" i="9"/>
  <c r="H37" i="9"/>
  <c r="I36" i="9"/>
  <c r="L35" i="7"/>
  <c r="K35" i="7"/>
  <c r="H37" i="7"/>
  <c r="I36" i="7"/>
  <c r="J36" i="7"/>
  <c r="J38" i="5"/>
  <c r="H39" i="5"/>
  <c r="I38" i="5"/>
  <c r="K37" i="5"/>
  <c r="L37" i="5"/>
  <c r="J36" i="3"/>
  <c r="H37" i="3"/>
  <c r="I36" i="3"/>
  <c r="K35" i="3"/>
  <c r="L35" i="3"/>
  <c r="L37" i="1"/>
  <c r="J38" i="1"/>
  <c r="K38" i="1" s="1"/>
  <c r="H39" i="1"/>
  <c r="I38" i="1"/>
  <c r="J37" i="9" l="1"/>
  <c r="H38" i="9"/>
  <c r="I37" i="9"/>
  <c r="L36" i="9"/>
  <c r="K36" i="9"/>
  <c r="L36" i="7"/>
  <c r="K36" i="7"/>
  <c r="J37" i="7"/>
  <c r="H38" i="7"/>
  <c r="I37" i="7"/>
  <c r="H40" i="5"/>
  <c r="I39" i="5"/>
  <c r="J39" i="5"/>
  <c r="L38" i="5"/>
  <c r="K38" i="5"/>
  <c r="H38" i="3"/>
  <c r="I37" i="3"/>
  <c r="J37" i="3"/>
  <c r="L36" i="3"/>
  <c r="K36" i="3"/>
  <c r="L38" i="1"/>
  <c r="J39" i="1"/>
  <c r="K39" i="1" s="1"/>
  <c r="H40" i="1"/>
  <c r="I39" i="1"/>
  <c r="J38" i="9" l="1"/>
  <c r="H39" i="9"/>
  <c r="I38" i="9"/>
  <c r="K37" i="9"/>
  <c r="L37" i="9"/>
  <c r="J38" i="7"/>
  <c r="H39" i="7"/>
  <c r="I38" i="7"/>
  <c r="K37" i="7"/>
  <c r="L37" i="7"/>
  <c r="L39" i="5"/>
  <c r="K39" i="5"/>
  <c r="J40" i="5"/>
  <c r="H41" i="5"/>
  <c r="I40" i="5"/>
  <c r="L37" i="3"/>
  <c r="K37" i="3"/>
  <c r="J38" i="3"/>
  <c r="H39" i="3"/>
  <c r="I38" i="3"/>
  <c r="L39" i="1"/>
  <c r="J40" i="1"/>
  <c r="K40" i="1" s="1"/>
  <c r="H41" i="1"/>
  <c r="I40" i="1"/>
  <c r="H40" i="9" l="1"/>
  <c r="I39" i="9"/>
  <c r="J39" i="9"/>
  <c r="L38" i="9"/>
  <c r="K38" i="9"/>
  <c r="H40" i="7"/>
  <c r="I39" i="7"/>
  <c r="J39" i="7"/>
  <c r="K38" i="7"/>
  <c r="L38" i="7"/>
  <c r="J41" i="5"/>
  <c r="H42" i="5"/>
  <c r="I41" i="5"/>
  <c r="L40" i="5"/>
  <c r="K40" i="5"/>
  <c r="J39" i="3"/>
  <c r="H40" i="3"/>
  <c r="I39" i="3"/>
  <c r="L38" i="3"/>
  <c r="K38" i="3"/>
  <c r="L40" i="1"/>
  <c r="I41" i="1"/>
  <c r="H42" i="1"/>
  <c r="J41" i="1"/>
  <c r="K41" i="1" s="1"/>
  <c r="L39" i="9" l="1"/>
  <c r="K39" i="9"/>
  <c r="J40" i="9"/>
  <c r="H41" i="9"/>
  <c r="I40" i="9"/>
  <c r="L39" i="7"/>
  <c r="K39" i="7"/>
  <c r="H41" i="7"/>
  <c r="I40" i="7"/>
  <c r="J40" i="7"/>
  <c r="J42" i="5"/>
  <c r="H43" i="5"/>
  <c r="I42" i="5"/>
  <c r="K41" i="5"/>
  <c r="L41" i="5"/>
  <c r="J40" i="3"/>
  <c r="H41" i="3"/>
  <c r="I40" i="3"/>
  <c r="K39" i="3"/>
  <c r="L39" i="3"/>
  <c r="L41" i="1"/>
  <c r="J42" i="1"/>
  <c r="K42" i="1" s="1"/>
  <c r="I42" i="1"/>
  <c r="J41" i="9" l="1"/>
  <c r="H42" i="9"/>
  <c r="I41" i="9"/>
  <c r="L40" i="9"/>
  <c r="K40" i="9"/>
  <c r="L40" i="7"/>
  <c r="K40" i="7"/>
  <c r="J41" i="7"/>
  <c r="H42" i="7"/>
  <c r="I41" i="7"/>
  <c r="I43" i="5"/>
  <c r="J43" i="5"/>
  <c r="L42" i="5"/>
  <c r="K42" i="5"/>
  <c r="H42" i="3"/>
  <c r="I41" i="3"/>
  <c r="J41" i="3"/>
  <c r="L40" i="3"/>
  <c r="K40" i="3"/>
  <c r="L42" i="1"/>
  <c r="J42" i="9" l="1"/>
  <c r="H43" i="9"/>
  <c r="I42" i="9"/>
  <c r="K41" i="9"/>
  <c r="L41" i="9"/>
  <c r="J42" i="7"/>
  <c r="H43" i="7"/>
  <c r="I42" i="7"/>
  <c r="K41" i="7"/>
  <c r="L41" i="7"/>
  <c r="H43" i="3"/>
  <c r="J42" i="3"/>
  <c r="L43" i="5"/>
  <c r="K43" i="5"/>
  <c r="I42" i="3"/>
  <c r="L41" i="3"/>
  <c r="K41" i="3"/>
  <c r="I43" i="9" l="1"/>
  <c r="J43" i="9"/>
  <c r="L42" i="9"/>
  <c r="K42" i="9"/>
  <c r="I43" i="7"/>
  <c r="J43" i="7"/>
  <c r="L42" i="7"/>
  <c r="K42" i="7"/>
  <c r="I43" i="3"/>
  <c r="J43" i="3"/>
  <c r="L42" i="3"/>
  <c r="K42" i="3"/>
  <c r="L43" i="9" l="1"/>
  <c r="K43" i="9"/>
  <c r="L43" i="7"/>
  <c r="K43" i="7"/>
  <c r="K43" i="3"/>
  <c r="L4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 aspire</author>
    <author>gerencia</author>
  </authors>
  <commentList>
    <comment ref="Y9" authorId="0" shapeId="0" xr:uid="{4EEA5595-CF07-4E92-A277-B99C684462E0}">
      <text>
        <r>
          <rPr>
            <b/>
            <sz val="11"/>
            <color indexed="81"/>
            <rFont val="Segoe UI"/>
            <charset val="1"/>
          </rPr>
          <t xml:space="preserve">aguardando descarga </t>
        </r>
      </text>
    </comment>
    <comment ref="I15" authorId="1" shapeId="0" xr:uid="{10CF073D-2F99-4FA0-B91C-52738BEFA472}">
      <text>
        <r>
          <rPr>
            <b/>
            <sz val="9"/>
            <color indexed="81"/>
            <rFont val="Segoe UI"/>
            <family val="2"/>
          </rPr>
          <t>gerencia:</t>
        </r>
        <r>
          <rPr>
            <sz val="9"/>
            <color indexed="81"/>
            <rFont val="Segoe UI"/>
            <family val="2"/>
          </rPr>
          <t xml:space="preserve">
manutenção na base, previsão de carregamento em 03/09</t>
        </r>
      </text>
    </comment>
    <comment ref="N15" authorId="0" shapeId="0" xr:uid="{0537F26D-9F5E-4B95-8A6E-4D49E2C287B4}">
      <text>
        <r>
          <rPr>
            <b/>
            <sz val="11"/>
            <color indexed="81"/>
            <rFont val="Segoe UI"/>
            <charset val="1"/>
          </rPr>
          <t>AGUARDANDO DEFINIÇÃO FUGINI</t>
        </r>
        <r>
          <rPr>
            <sz val="11"/>
            <color indexed="81"/>
            <rFont val="Segoe UI"/>
            <charset val="1"/>
          </rPr>
          <t xml:space="preserve">
</t>
        </r>
      </text>
    </comment>
    <comment ref="Y22" authorId="0" shapeId="0" xr:uid="{828B8938-E814-4334-B4E0-4CCF164D1AB2}">
      <text>
        <r>
          <rPr>
            <b/>
            <sz val="11"/>
            <color indexed="81"/>
            <rFont val="Segoe UI"/>
            <charset val="1"/>
          </rPr>
          <t>aguardando carregamento</t>
        </r>
        <r>
          <rPr>
            <sz val="11"/>
            <color indexed="81"/>
            <rFont val="Segoe UI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 aspire</author>
  </authors>
  <commentList>
    <comment ref="W5" authorId="0" shapeId="0" xr:uid="{97A26D0C-213F-4C9C-93D1-2C04015726CC}">
      <text>
        <r>
          <rPr>
            <b/>
            <sz val="11"/>
            <color indexed="81"/>
            <rFont val="Segoe UI"/>
            <charset val="1"/>
          </rPr>
          <t>aguardando carregamento Ambev</t>
        </r>
      </text>
    </comment>
    <comment ref="AB6" authorId="0" shapeId="0" xr:uid="{072751E6-3599-41D5-88C2-24FF0E83DEC4}">
      <text>
        <r>
          <rPr>
            <b/>
            <sz val="11"/>
            <color indexed="81"/>
            <rFont val="Segoe UI"/>
            <charset val="1"/>
          </rPr>
          <t>RBL 4E27 MANUTENÇÃO, CAIXA E TURBINA</t>
        </r>
        <r>
          <rPr>
            <sz val="11"/>
            <color indexed="81"/>
            <rFont val="Segoe UI"/>
            <charset val="1"/>
          </rPr>
          <t xml:space="preserve">
</t>
        </r>
      </text>
    </comment>
    <comment ref="S12" authorId="0" shapeId="0" xr:uid="{0A0AC915-63EA-41FA-99D8-3EDB4B376CF6}">
      <text>
        <r>
          <rPr>
            <b/>
            <sz val="11"/>
            <color indexed="81"/>
            <rFont val="Segoe UI"/>
            <charset val="1"/>
          </rPr>
          <t>NESSE PERÍODO ELE TRABALHOU COM O RCD5C48</t>
        </r>
      </text>
    </comment>
    <comment ref="A13" authorId="0" shapeId="0" xr:uid="{8C070046-2894-4AC7-B07D-EEFDC453CD99}">
      <text>
        <r>
          <rPr>
            <b/>
            <sz val="11"/>
            <color indexed="81"/>
            <rFont val="Segoe UI"/>
            <charset val="1"/>
          </rPr>
          <t>motorista saiu</t>
        </r>
      </text>
    </comment>
    <comment ref="AC15" authorId="0" shapeId="0" xr:uid="{68926EC7-A9E4-4F75-B28F-075B0B8B1144}">
      <text>
        <r>
          <rPr>
            <b/>
            <sz val="11"/>
            <color indexed="81"/>
            <rFont val="Segoe UI"/>
            <charset val="1"/>
          </rPr>
          <t xml:space="preserve">MANUTENÇÃO DIFERENCIAL </t>
        </r>
        <r>
          <rPr>
            <sz val="11"/>
            <color indexed="81"/>
            <rFont val="Segoe UI"/>
            <charset val="1"/>
          </rPr>
          <t xml:space="preserve">
</t>
        </r>
      </text>
    </comment>
    <comment ref="A16" authorId="0" shapeId="0" xr:uid="{1E3A5851-411D-426B-A53A-1CB08F6FB2AC}">
      <text>
        <r>
          <rPr>
            <b/>
            <sz val="11"/>
            <color indexed="81"/>
            <rFont val="Segoe UI"/>
            <charset val="1"/>
          </rPr>
          <t xml:space="preserve">motorista saiu </t>
        </r>
      </text>
    </comment>
    <comment ref="N17" authorId="0" shapeId="0" xr:uid="{A43055E5-9DCD-42BF-A00C-E8684D1C909E}">
      <text>
        <r>
          <rPr>
            <b/>
            <sz val="11"/>
            <color indexed="81"/>
            <rFont val="Segoe UI"/>
            <charset val="1"/>
          </rPr>
          <t>aguardando descarga italac</t>
        </r>
        <r>
          <rPr>
            <sz val="11"/>
            <color indexed="81"/>
            <rFont val="Segoe UI"/>
            <charset val="1"/>
          </rPr>
          <t xml:space="preserve">
</t>
        </r>
      </text>
    </comment>
    <comment ref="A26" authorId="0" shapeId="0" xr:uid="{02A0ADCF-E078-4554-A32A-78E790302272}">
      <text>
        <r>
          <rPr>
            <b/>
            <sz val="11"/>
            <color indexed="81"/>
            <rFont val="Segoe UI"/>
            <charset val="1"/>
          </rPr>
          <t>motorista saiu</t>
        </r>
        <r>
          <rPr>
            <sz val="11"/>
            <color indexed="81"/>
            <rFont val="Segoe UI"/>
            <charset val="1"/>
          </rPr>
          <t xml:space="preserve">
</t>
        </r>
      </text>
    </comment>
    <comment ref="N27" authorId="0" shapeId="0" xr:uid="{C984F044-CE2F-4B64-A4AF-05265EFD87BB}">
      <text>
        <r>
          <rPr>
            <b/>
            <sz val="11"/>
            <color indexed="81"/>
            <rFont val="Segoe UI"/>
            <charset val="1"/>
          </rPr>
          <t xml:space="preserve">aguardando descarga flora </t>
        </r>
      </text>
    </comment>
    <comment ref="U27" authorId="0" shapeId="0" xr:uid="{8BEB4A8A-3FA7-407B-94EC-981D1607D366}">
      <text>
        <r>
          <rPr>
            <b/>
            <sz val="11"/>
            <color indexed="81"/>
            <rFont val="Segoe UI"/>
            <charset val="1"/>
          </rPr>
          <t xml:space="preserve">AGUARDANDO CARREGAMENTO </t>
        </r>
        <r>
          <rPr>
            <sz val="11"/>
            <color indexed="81"/>
            <rFont val="Segoe UI"/>
            <charset val="1"/>
          </rPr>
          <t xml:space="preserve">
</t>
        </r>
      </text>
    </comment>
    <comment ref="A31" authorId="0" shapeId="0" xr:uid="{73E595D3-7857-4B3E-999B-93012E780399}">
      <text>
        <r>
          <rPr>
            <b/>
            <sz val="11"/>
            <color indexed="81"/>
            <rFont val="Segoe UI"/>
            <charset val="1"/>
          </rPr>
          <t>MOTORISTA SAIU</t>
        </r>
        <r>
          <rPr>
            <sz val="11"/>
            <color indexed="81"/>
            <rFont val="Segoe UI"/>
            <charset val="1"/>
          </rPr>
          <t xml:space="preserve">
</t>
        </r>
      </text>
    </comment>
    <comment ref="AA34" authorId="0" shapeId="0" xr:uid="{29A648CC-E081-4634-BFF0-2B7EC807244D}">
      <text>
        <r>
          <rPr>
            <b/>
            <sz val="11"/>
            <color indexed="81"/>
            <rFont val="Segoe UI"/>
            <charset val="1"/>
          </rPr>
          <t>AGUARDANDO MOTORISTA</t>
        </r>
      </text>
    </comment>
    <comment ref="C36" authorId="0" shapeId="0" xr:uid="{703EC267-DD65-4B3E-92EB-991D85FA13FA}">
      <text>
        <r>
          <rPr>
            <b/>
            <sz val="11"/>
            <color indexed="81"/>
            <rFont val="Segoe UI"/>
            <charset val="1"/>
          </rPr>
          <t>PÁTIO, BATIDA, REFORMA</t>
        </r>
        <r>
          <rPr>
            <sz val="11"/>
            <color indexed="81"/>
            <rFont val="Segoe UI"/>
            <charset val="1"/>
          </rPr>
          <t xml:space="preserve">
</t>
        </r>
      </text>
    </comment>
    <comment ref="C37" authorId="0" shapeId="0" xr:uid="{16AA4A4F-D56B-4E2F-8E47-DD7358687F47}">
      <text>
        <r>
          <rPr>
            <sz val="11"/>
            <color indexed="81"/>
            <rFont val="Segoe UI"/>
            <charset val="1"/>
          </rPr>
          <t xml:space="preserve">IVECO, CABEÇOTE
</t>
        </r>
      </text>
    </comment>
    <comment ref="C38" authorId="0" shapeId="0" xr:uid="{FC81EC97-E679-44F1-852B-A78F676490FF}">
      <text>
        <r>
          <rPr>
            <b/>
            <sz val="11"/>
            <color indexed="81"/>
            <rFont val="Segoe UI"/>
            <charset val="1"/>
          </rPr>
          <t xml:space="preserve">OFICINA POTENCIA CHUMBO DIESEL. CAIXA E TURBINA </t>
        </r>
        <r>
          <rPr>
            <sz val="11"/>
            <color indexed="81"/>
            <rFont val="Segoe UI"/>
            <charset val="1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 aspire</author>
  </authors>
  <commentList>
    <comment ref="H5" authorId="0" shapeId="0" xr:uid="{B92611E2-0D76-4474-9275-C4CA51297EDA}">
      <text>
        <r>
          <rPr>
            <b/>
            <sz val="11"/>
            <color indexed="81"/>
            <rFont val="Segoe UI"/>
            <charset val="1"/>
          </rPr>
          <t>Aguardando carregamento em Juatuba- MG desde o dia 01/10</t>
        </r>
        <r>
          <rPr>
            <sz val="11"/>
            <color indexed="81"/>
            <rFont val="Segoe UI"/>
            <charset val="1"/>
          </rPr>
          <t xml:space="preserve">
</t>
        </r>
      </text>
    </comment>
    <comment ref="A15" authorId="0" shapeId="0" xr:uid="{C2B24EC3-2557-41B1-98C9-4C3E0550C733}">
      <text>
        <r>
          <rPr>
            <b/>
            <sz val="11"/>
            <color indexed="81"/>
            <rFont val="Segoe UI"/>
            <charset val="1"/>
          </rPr>
          <t>SAIU</t>
        </r>
        <r>
          <rPr>
            <sz val="11"/>
            <color indexed="81"/>
            <rFont val="Segoe UI"/>
            <charset val="1"/>
          </rPr>
          <t xml:space="preserve">
</t>
        </r>
      </text>
    </comment>
    <comment ref="A18" authorId="0" shapeId="0" xr:uid="{5F3E6044-4601-43A2-B853-25FBB690BD70}">
      <text>
        <r>
          <rPr>
            <sz val="11"/>
            <color indexed="81"/>
            <rFont val="Segoe UI"/>
            <charset val="1"/>
          </rPr>
          <t xml:space="preserve">SAIU 
</t>
        </r>
      </text>
    </comment>
    <comment ref="A38" authorId="0" shapeId="0" xr:uid="{8B6C5B23-2F35-47AF-B966-D2BFF8308B48}">
      <text>
        <r>
          <rPr>
            <b/>
            <sz val="11"/>
            <color indexed="81"/>
            <rFont val="Segoe UI"/>
            <charset val="1"/>
          </rPr>
          <t>motorista PX</t>
        </r>
        <r>
          <rPr>
            <sz val="11"/>
            <color indexed="81"/>
            <rFont val="Segoe UI"/>
            <charset val="1"/>
          </rPr>
          <t xml:space="preserve">
</t>
        </r>
      </text>
    </comment>
    <comment ref="C39" authorId="0" shapeId="0" xr:uid="{807A1411-DCEC-4048-98DC-B9E85919766A}">
      <text>
        <r>
          <rPr>
            <b/>
            <sz val="11"/>
            <color indexed="81"/>
            <rFont val="Segoe UI"/>
            <charset val="1"/>
          </rPr>
          <t xml:space="preserve">OFICINA POTENCIA CHUMBO DIESEL. CAIXA E TURBINA </t>
        </r>
        <r>
          <rPr>
            <sz val="11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<sst xmlns="http://schemas.openxmlformats.org/spreadsheetml/2006/main" count="1212" uniqueCount="256">
  <si>
    <t>DIGITAR</t>
  </si>
  <si>
    <t>DIA</t>
  </si>
  <si>
    <t>MEDIA DIA</t>
  </si>
  <si>
    <t>ACUMULADO POR MEDIA</t>
  </si>
  <si>
    <t>Faturado dia</t>
  </si>
  <si>
    <t>acumulado mês</t>
  </si>
  <si>
    <t>META 3.000.000</t>
  </si>
  <si>
    <t>PROJEÇAO</t>
  </si>
  <si>
    <t>DIFERENÇA DA META</t>
  </si>
  <si>
    <t xml:space="preserve"> </t>
  </si>
  <si>
    <t>GESTÃO A VISTA DO RESULTADO DURANTE O MÊS VIGENTE</t>
  </si>
  <si>
    <t>LS</t>
  </si>
  <si>
    <t>RODOTREM</t>
  </si>
  <si>
    <t>TOTAL</t>
  </si>
  <si>
    <t>VEICULO</t>
  </si>
  <si>
    <t>QTD</t>
  </si>
  <si>
    <t>META MÊS</t>
  </si>
  <si>
    <t>PRODUÇÃO</t>
  </si>
  <si>
    <t>Motorista</t>
  </si>
  <si>
    <t>CPF</t>
  </si>
  <si>
    <t>Cavalo</t>
  </si>
  <si>
    <t>1º Reboque</t>
  </si>
  <si>
    <t>2º Reboque</t>
  </si>
  <si>
    <t>CONTATO</t>
  </si>
  <si>
    <t>Tipo</t>
  </si>
  <si>
    <t>Gilmar Lemes Moreira</t>
  </si>
  <si>
    <t>331.607.241-15</t>
  </si>
  <si>
    <t>RSA - 6F17</t>
  </si>
  <si>
    <t>ONS - 5741</t>
  </si>
  <si>
    <t>ONS - 5781</t>
  </si>
  <si>
    <t>(61) 99559-9992</t>
  </si>
  <si>
    <t>Rodotrem Graneleiro</t>
  </si>
  <si>
    <t>Ademar Xavier Rocha</t>
  </si>
  <si>
    <t>809.679.221-00</t>
  </si>
  <si>
    <t>REN-1I09</t>
  </si>
  <si>
    <t>GZV-9G76</t>
  </si>
  <si>
    <t>EOE-3B10</t>
  </si>
  <si>
    <t>(61) 99980-1995</t>
  </si>
  <si>
    <t>Alison Rodrigues da Silva SA</t>
  </si>
  <si>
    <t>038.829.351-97</t>
  </si>
  <si>
    <t>RBL-4E27</t>
  </si>
  <si>
    <t>PAE-9952</t>
  </si>
  <si>
    <t>PAE-9953</t>
  </si>
  <si>
    <t>(61) 99648-6312</t>
  </si>
  <si>
    <t>Flavio Paiva dos Santos</t>
  </si>
  <si>
    <t>036.626.214-95</t>
  </si>
  <si>
    <t>RBL-9C93</t>
  </si>
  <si>
    <t>AXH-2C39</t>
  </si>
  <si>
    <t>AXH-2C40</t>
  </si>
  <si>
    <t>(61) 99447-6996</t>
  </si>
  <si>
    <t>Mauro Batista de Lima</t>
  </si>
  <si>
    <t>413.502.865-91</t>
  </si>
  <si>
    <t>RBX-5F42</t>
  </si>
  <si>
    <t>HOF-5G14</t>
  </si>
  <si>
    <t>HOF-5G10</t>
  </si>
  <si>
    <t>(62) 99665-9462</t>
  </si>
  <si>
    <t>Jose Junho Ferreira</t>
  </si>
  <si>
    <t>024.626.833-64</t>
  </si>
  <si>
    <t>SDG-3C81</t>
  </si>
  <si>
    <t>PRW-8G54</t>
  </si>
  <si>
    <t>PRW-8G64</t>
  </si>
  <si>
    <t>(61) 99426-8741</t>
  </si>
  <si>
    <t>Cristiano Martins da Silva</t>
  </si>
  <si>
    <t>024.251.321-20</t>
  </si>
  <si>
    <t>REK-0D67</t>
  </si>
  <si>
    <t>MFT-6623</t>
  </si>
  <si>
    <t>ONS-7G44</t>
  </si>
  <si>
    <t>(62) 99152-8240</t>
  </si>
  <si>
    <t>Railandher Nunes dos Santos</t>
  </si>
  <si>
    <t>064.769-571-55</t>
  </si>
  <si>
    <t>RVQ-1J85</t>
  </si>
  <si>
    <t>OOC-7A05</t>
  </si>
  <si>
    <t>OOB-7A05</t>
  </si>
  <si>
    <t>(62) 99502-8337</t>
  </si>
  <si>
    <t>Julio Cesar Padilha Simoes</t>
  </si>
  <si>
    <t>056.869.581-06</t>
  </si>
  <si>
    <t>RCC-7E22</t>
  </si>
  <si>
    <t>PRY-0A53</t>
  </si>
  <si>
    <t>PRX-7J53</t>
  </si>
  <si>
    <t>(61) 98458-6062</t>
  </si>
  <si>
    <t>Luiz Claudio Pessoa</t>
  </si>
  <si>
    <t>442.761.411-68</t>
  </si>
  <si>
    <t>PRP-7B62</t>
  </si>
  <si>
    <t>MKQ-9H98</t>
  </si>
  <si>
    <t>MKQ-9D98</t>
  </si>
  <si>
    <t>(61) 98322-8230</t>
  </si>
  <si>
    <t>Edvan Pereira Soares</t>
  </si>
  <si>
    <t>863.646.421-87</t>
  </si>
  <si>
    <t>RCE-0I83</t>
  </si>
  <si>
    <t>REK-9E31</t>
  </si>
  <si>
    <t>REK-9E32</t>
  </si>
  <si>
    <t>(62) 98520-5053</t>
  </si>
  <si>
    <t>Wellington Gomes de Morais</t>
  </si>
  <si>
    <t>866.206.221-00</t>
  </si>
  <si>
    <t>RCD-5C48</t>
  </si>
  <si>
    <t>RBS-5J93</t>
  </si>
  <si>
    <t>RBS-6A43</t>
  </si>
  <si>
    <t>(61) 99257-7216</t>
  </si>
  <si>
    <t>Irley Alberto Silva Souza</t>
  </si>
  <si>
    <t>016.615.751-10</t>
  </si>
  <si>
    <t>TFK-5A29</t>
  </si>
  <si>
    <t>GAJ-0D53</t>
  </si>
  <si>
    <t>GKF-1B94</t>
  </si>
  <si>
    <t>(61) 99822-2661</t>
  </si>
  <si>
    <t>Rodotrem Sider</t>
  </si>
  <si>
    <t>Lucas Carvalho Pereira</t>
  </si>
  <si>
    <t>020.530.081-21</t>
  </si>
  <si>
    <t>TFP-2E23</t>
  </si>
  <si>
    <t>QTR-6809</t>
  </si>
  <si>
    <t>RBK-7E38</t>
  </si>
  <si>
    <t>(61) 99994-7737</t>
  </si>
  <si>
    <t>SDH-1G58</t>
  </si>
  <si>
    <t>RBU - 7B44</t>
  </si>
  <si>
    <t>RBU - 7D14</t>
  </si>
  <si>
    <t>(61) 98185-5916</t>
  </si>
  <si>
    <t>Luciano Quintanilha Gomes</t>
  </si>
  <si>
    <t>078.590.297-07</t>
  </si>
  <si>
    <t>TFQ-0J19</t>
  </si>
  <si>
    <t>FPT-0G91</t>
  </si>
  <si>
    <t>GDX-5B62</t>
  </si>
  <si>
    <t>(61) 99292-1292</t>
  </si>
  <si>
    <t>Luiz Ricardo Melo de Almeida</t>
  </si>
  <si>
    <t>040.411.491-18</t>
  </si>
  <si>
    <t>SDG-1G91</t>
  </si>
  <si>
    <t>GDI-4D01</t>
  </si>
  <si>
    <t>FMP-9E71</t>
  </si>
  <si>
    <t>(61) 99869-6347</t>
  </si>
  <si>
    <t>Kelson Castro Chaves</t>
  </si>
  <si>
    <t>857.120.191-91</t>
  </si>
  <si>
    <t>RCM-1H95</t>
  </si>
  <si>
    <t>RBM - 3G03</t>
  </si>
  <si>
    <t>RBM - 3F93</t>
  </si>
  <si>
    <t>(62) 98157-6973</t>
  </si>
  <si>
    <t>Renato de Jesus Souza</t>
  </si>
  <si>
    <t>021.156.911-99</t>
  </si>
  <si>
    <t>SDH-7A25</t>
  </si>
  <si>
    <t>RBN-3H25</t>
  </si>
  <si>
    <t>RBN-3H75</t>
  </si>
  <si>
    <t>(61) 99696-0881</t>
  </si>
  <si>
    <t>Carlos Sebastião Oliveira da Silva</t>
  </si>
  <si>
    <t>074.632.254-29</t>
  </si>
  <si>
    <t>TFZ-9E59</t>
  </si>
  <si>
    <t>RBW-0G43</t>
  </si>
  <si>
    <t>RBV-7H23</t>
  </si>
  <si>
    <t>(61) 99191-6324</t>
  </si>
  <si>
    <t>079.915.486-51</t>
  </si>
  <si>
    <t>RCD-7D72</t>
  </si>
  <si>
    <t>QTO-1298</t>
  </si>
  <si>
    <t>QTO-1088</t>
  </si>
  <si>
    <t>(61) 99317-3916</t>
  </si>
  <si>
    <t>Valmir de Souza Santos</t>
  </si>
  <si>
    <t>649.462.151-15</t>
  </si>
  <si>
    <t>TFY-6F22</t>
  </si>
  <si>
    <t>SDJ-7C68</t>
  </si>
  <si>
    <t>SCJ-1J98</t>
  </si>
  <si>
    <t>(61) 99908-5809</t>
  </si>
  <si>
    <t>Jariel Ferreira Lima</t>
  </si>
  <si>
    <t>006.344.131-47</t>
  </si>
  <si>
    <t>SDO-1A48</t>
  </si>
  <si>
    <t>RBR-2G14</t>
  </si>
  <si>
    <t>RBR-2G44</t>
  </si>
  <si>
    <t>(61) 99867-1574</t>
  </si>
  <si>
    <t>Arthur de Almeida Mascarenhas</t>
  </si>
  <si>
    <t>044.559.691-01</t>
  </si>
  <si>
    <t>SDA-2H39</t>
  </si>
  <si>
    <t>FJH-7E96</t>
  </si>
  <si>
    <t>GFR-0J56</t>
  </si>
  <si>
    <t>(61) 99310-4960</t>
  </si>
  <si>
    <t>Murilo Costa Silva</t>
  </si>
  <si>
    <t>003.132.941-19</t>
  </si>
  <si>
    <t>RVS-9J69</t>
  </si>
  <si>
    <t>TFA-8C71</t>
  </si>
  <si>
    <t>TFQ-8F21</t>
  </si>
  <si>
    <t>(61) 98206-4412</t>
  </si>
  <si>
    <t>Antonio Leopoldino sobrinho</t>
  </si>
  <si>
    <t>529.666.071-49</t>
  </si>
  <si>
    <t>SDG-3C21</t>
  </si>
  <si>
    <t>GJR-6I44</t>
  </si>
  <si>
    <t>GHL-8I33</t>
  </si>
  <si>
    <t>(61) 99946-8725</t>
  </si>
  <si>
    <t>Marcos Antonio Martins</t>
  </si>
  <si>
    <t>599.872.431-34</t>
  </si>
  <si>
    <t>SDL-5J68</t>
  </si>
  <si>
    <t>SCT-8F58</t>
  </si>
  <si>
    <t>SDH-8D38</t>
  </si>
  <si>
    <t>(61) 99562-5503</t>
  </si>
  <si>
    <t>Ronaldo Duarte</t>
  </si>
  <si>
    <t>954.452.421-53</t>
  </si>
  <si>
    <t>JBE-1E97</t>
  </si>
  <si>
    <t>RBP - 5A93</t>
  </si>
  <si>
    <t>XXXXXX</t>
  </si>
  <si>
    <t>(61) 99107-6723</t>
  </si>
  <si>
    <t>LS Sider</t>
  </si>
  <si>
    <t>Gustavo Alves Pereira</t>
  </si>
  <si>
    <t>088.328.519-38</t>
  </si>
  <si>
    <t>FSI - 2I68</t>
  </si>
  <si>
    <t>GHB-7F27</t>
  </si>
  <si>
    <t>(61) 98416-2357</t>
  </si>
  <si>
    <t>Marcelo Silva Sousa</t>
  </si>
  <si>
    <t>783.744.211-34</t>
  </si>
  <si>
    <t>REO-5A75</t>
  </si>
  <si>
    <t>DJV-1A46</t>
  </si>
  <si>
    <t>(61) 99994-1121</t>
  </si>
  <si>
    <t>Paulo Machado dos Santos</t>
  </si>
  <si>
    <t>291.458.131-91</t>
  </si>
  <si>
    <t>QUJ-5G26</t>
  </si>
  <si>
    <t>RCA-5G48</t>
  </si>
  <si>
    <t>(61) 98186-8698</t>
  </si>
  <si>
    <t>Graneleiro</t>
  </si>
  <si>
    <t>MEDIA</t>
  </si>
  <si>
    <t>COMISSÃO</t>
  </si>
  <si>
    <t>COMPARATIVO COM META</t>
  </si>
  <si>
    <t>Hometeck</t>
  </si>
  <si>
    <t>Ralisson Duarte de Souza</t>
  </si>
  <si>
    <t>896.342.411-15</t>
  </si>
  <si>
    <t>Fabrício Bernadino de Brito</t>
  </si>
  <si>
    <t>RCD7D72</t>
  </si>
  <si>
    <t>RBL9C93</t>
  </si>
  <si>
    <t xml:space="preserve">Renato  de Jesus Souza </t>
  </si>
  <si>
    <t>RCC7E22</t>
  </si>
  <si>
    <t>Samuel dos Santos Leite</t>
  </si>
  <si>
    <t>705.852.401-75</t>
  </si>
  <si>
    <t>RCD5C48</t>
  </si>
  <si>
    <t>RBL4E27</t>
  </si>
  <si>
    <t>MANUTENÇÃO</t>
  </si>
  <si>
    <t>TFK5A29</t>
  </si>
  <si>
    <t>REK0D67</t>
  </si>
  <si>
    <t xml:space="preserve">Weslen Barbosa Rezende </t>
  </si>
  <si>
    <t>701.419.591-34</t>
  </si>
  <si>
    <t>Missias Alves Pereira</t>
  </si>
  <si>
    <t>539.272.491-49</t>
  </si>
  <si>
    <t>Maicon Alves dos Santos Silva</t>
  </si>
  <si>
    <t>029..865.001-02</t>
  </si>
  <si>
    <t xml:space="preserve">Danilo Duarte Coelho </t>
  </si>
  <si>
    <t>026.596.991-35</t>
  </si>
  <si>
    <t>RCE0I83</t>
  </si>
  <si>
    <t xml:space="preserve">Leonardo da Silva de Oliveira </t>
  </si>
  <si>
    <t>011.272.781-69</t>
  </si>
  <si>
    <t>Vicente de Paulo Oliveira Silva</t>
  </si>
  <si>
    <t>838.407.451-87</t>
  </si>
  <si>
    <t xml:space="preserve">Wendel André de Jesus </t>
  </si>
  <si>
    <t>704.383.311-68</t>
  </si>
  <si>
    <t>REO5A75</t>
  </si>
  <si>
    <t>SDH1G58</t>
  </si>
  <si>
    <t xml:space="preserve">Aguardando motorista </t>
  </si>
  <si>
    <t xml:space="preserve">Dionatan do Nascimento de Souza </t>
  </si>
  <si>
    <t>031.463.050-38</t>
  </si>
  <si>
    <t>SDO 1A48</t>
  </si>
  <si>
    <t>Emerson Gomes da Silva</t>
  </si>
  <si>
    <t>003.553.471-05</t>
  </si>
  <si>
    <t>FSI2I68</t>
  </si>
  <si>
    <t xml:space="preserve">Alessandro Henrique Xavier de Sousa </t>
  </si>
  <si>
    <t>800.069.901-00</t>
  </si>
  <si>
    <t>TFZ9E59</t>
  </si>
  <si>
    <t>Djair Rodrigues da Silva</t>
  </si>
  <si>
    <t>797.660.991-20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</si>
</sst>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indexed="8"/>
      <name val="Calibri"/>
    </font>
    <font>
      <sz val="11"/>
      <color indexed="81"/>
      <name val="Segoe UI"/>
      <charset val="1"/>
    </font>
    <font>
      <b/>
      <sz val="11"/>
      <color indexed="81"/>
      <name val="Segoe UI"/>
      <charset val="1"/>
    </font>
  </fonts>
  <fills count="2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theme="0"/>
      </patternFill>
    </fill>
    <fill>
      <patternFill patternType="solid">
        <fgColor theme="1" tint="0.499984740745262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theme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Fill="0" applyProtection="0"/>
  </cellStyleXfs>
  <cellXfs count="89">
    <xf numFmtId="0" fontId="0" fillId="0" borderId="0" xfId="0"/>
    <xf numFmtId="0" fontId="2" fillId="2" borderId="0" xfId="0" applyFont="1" applyFill="1" applyAlignment="1">
      <alignment horizontal="center"/>
    </xf>
    <xf numFmtId="16" fontId="2" fillId="0" borderId="1" xfId="0" applyNumberFormat="1" applyFont="1" applyBorder="1" applyAlignment="1">
      <alignment horizontal="center"/>
    </xf>
    <xf numFmtId="44" fontId="0" fillId="0" borderId="0" xfId="0" applyNumberFormat="1"/>
    <xf numFmtId="44" fontId="2" fillId="3" borderId="1" xfId="1" applyFont="1" applyFill="1" applyBorder="1" applyAlignment="1">
      <alignment horizontal="center"/>
    </xf>
    <xf numFmtId="44" fontId="2" fillId="0" borderId="1" xfId="1" applyFont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44" fontId="4" fillId="0" borderId="1" xfId="0" applyNumberFormat="1" applyFont="1" applyBorder="1" applyAlignment="1">
      <alignment horizontal="center"/>
    </xf>
    <xf numFmtId="44" fontId="2" fillId="0" borderId="1" xfId="0" applyNumberFormat="1" applyFont="1" applyBorder="1" applyAlignment="1">
      <alignment horizontal="center"/>
    </xf>
    <xf numFmtId="44" fontId="2" fillId="0" borderId="1" xfId="0" quotePrefix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4" fontId="2" fillId="0" borderId="0" xfId="0" applyNumberFormat="1" applyFont="1"/>
    <xf numFmtId="0" fontId="2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44" fontId="2" fillId="4" borderId="0" xfId="1" applyFont="1" applyFill="1" applyBorder="1" applyAlignment="1">
      <alignment horizontal="center"/>
    </xf>
    <xf numFmtId="44" fontId="2" fillId="4" borderId="3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44" fontId="2" fillId="4" borderId="6" xfId="0" applyNumberFormat="1" applyFont="1" applyFill="1" applyBorder="1" applyAlignment="1">
      <alignment horizontal="center"/>
    </xf>
    <xf numFmtId="16" fontId="0" fillId="0" borderId="0" xfId="0" applyNumberFormat="1"/>
    <xf numFmtId="0" fontId="5" fillId="5" borderId="1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6" fillId="6" borderId="1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6" fillId="6" borderId="0" xfId="0" applyFont="1" applyFill="1" applyAlignment="1">
      <alignment horizontal="center"/>
    </xf>
    <xf numFmtId="16" fontId="3" fillId="9" borderId="0" xfId="0" applyNumberFormat="1" applyFont="1" applyFill="1"/>
    <xf numFmtId="0" fontId="7" fillId="0" borderId="7" xfId="0" applyFont="1" applyBorder="1" applyAlignment="1">
      <alignment horizontal="center"/>
    </xf>
    <xf numFmtId="44" fontId="8" fillId="4" borderId="0" xfId="1" applyFont="1" applyFill="1"/>
    <xf numFmtId="16" fontId="3" fillId="3" borderId="0" xfId="0" applyNumberFormat="1" applyFont="1" applyFill="1"/>
    <xf numFmtId="44" fontId="8" fillId="3" borderId="0" xfId="1" applyFont="1" applyFill="1"/>
    <xf numFmtId="0" fontId="3" fillId="10" borderId="1" xfId="0" applyFont="1" applyFill="1" applyBorder="1" applyAlignment="1">
      <alignment horizontal="center" wrapText="1"/>
    </xf>
    <xf numFmtId="0" fontId="2" fillId="10" borderId="0" xfId="0" applyFont="1" applyFill="1"/>
    <xf numFmtId="44" fontId="3" fillId="10" borderId="1" xfId="1" applyFont="1" applyFill="1" applyBorder="1" applyAlignment="1">
      <alignment horizontal="center" wrapText="1"/>
    </xf>
    <xf numFmtId="0" fontId="2" fillId="9" borderId="0" xfId="0" applyFont="1" applyFill="1"/>
    <xf numFmtId="0" fontId="2" fillId="10" borderId="0" xfId="0" applyFont="1" applyFill="1" applyAlignment="1">
      <alignment horizontal="center" wrapText="1"/>
    </xf>
    <xf numFmtId="9" fontId="2" fillId="0" borderId="0" xfId="2" applyFont="1" applyAlignment="1">
      <alignment horizontal="center"/>
    </xf>
    <xf numFmtId="44" fontId="8" fillId="2" borderId="0" xfId="1" applyFont="1" applyFill="1"/>
    <xf numFmtId="44" fontId="8" fillId="11" borderId="0" xfId="1" applyFont="1" applyFill="1"/>
    <xf numFmtId="0" fontId="6" fillId="7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44" fontId="8" fillId="12" borderId="0" xfId="1" applyFont="1" applyFill="1"/>
    <xf numFmtId="44" fontId="8" fillId="13" borderId="0" xfId="1" applyFont="1" applyFill="1"/>
    <xf numFmtId="44" fontId="8" fillId="14" borderId="0" xfId="1" applyFont="1" applyFill="1"/>
    <xf numFmtId="44" fontId="8" fillId="15" borderId="0" xfId="1" applyFont="1" applyFill="1"/>
    <xf numFmtId="44" fontId="8" fillId="0" borderId="0" xfId="1" applyFont="1" applyFill="1"/>
    <xf numFmtId="44" fontId="8" fillId="16" borderId="0" xfId="1" applyFont="1" applyFill="1"/>
    <xf numFmtId="0" fontId="6" fillId="15" borderId="1" xfId="0" applyFont="1" applyFill="1" applyBorder="1" applyAlignment="1">
      <alignment horizontal="center"/>
    </xf>
    <xf numFmtId="0" fontId="7" fillId="17" borderId="7" xfId="0" applyFont="1" applyFill="1" applyBorder="1" applyAlignment="1">
      <alignment horizontal="center"/>
    </xf>
    <xf numFmtId="0" fontId="6" fillId="17" borderId="7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18" borderId="7" xfId="0" applyFont="1" applyFill="1" applyBorder="1" applyAlignment="1">
      <alignment horizontal="center"/>
    </xf>
    <xf numFmtId="44" fontId="8" fillId="19" borderId="0" xfId="1" applyFont="1" applyFill="1"/>
    <xf numFmtId="44" fontId="8" fillId="20" borderId="0" xfId="1" applyFont="1" applyFill="1"/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right"/>
    </xf>
    <xf numFmtId="10" fontId="2" fillId="0" borderId="1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44" fontId="8" fillId="0" borderId="1" xfId="1" applyFont="1" applyFill="1" applyBorder="1"/>
    <xf numFmtId="0" fontId="6" fillId="6" borderId="8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44" fontId="8" fillId="14" borderId="1" xfId="1" applyFont="1" applyFill="1" applyBorder="1"/>
    <xf numFmtId="44" fontId="8" fillId="16" borderId="1" xfId="1" applyFont="1" applyFill="1" applyBorder="1"/>
    <xf numFmtId="44" fontId="8" fillId="15" borderId="1" xfId="1" applyFont="1" applyFill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21" borderId="7" xfId="0" applyFont="1" applyFill="1" applyBorder="1" applyAlignment="1">
      <alignment horizontal="center"/>
    </xf>
    <xf numFmtId="0" fontId="6" fillId="21" borderId="1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/>
    </xf>
    <xf numFmtId="0" fontId="7" fillId="21" borderId="0" xfId="0" applyFont="1" applyFill="1" applyAlignment="1">
      <alignment horizontal="center"/>
    </xf>
    <xf numFmtId="0" fontId="6" fillId="21" borderId="0" xfId="0" applyFont="1" applyFill="1" applyAlignment="1">
      <alignment horizontal="center"/>
    </xf>
    <xf numFmtId="44" fontId="8" fillId="22" borderId="1" xfId="1" applyFont="1" applyFill="1" applyBorder="1"/>
    <xf numFmtId="0" fontId="6" fillId="0" borderId="7" xfId="0" applyFont="1" applyBorder="1" applyAlignment="1">
      <alignment horizontal="center"/>
    </xf>
    <xf numFmtId="0" fontId="6" fillId="23" borderId="7" xfId="0" applyFont="1" applyFill="1" applyBorder="1" applyAlignment="1">
      <alignment horizontal="center"/>
    </xf>
    <xf numFmtId="0" fontId="6" fillId="2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4" fontId="8" fillId="3" borderId="1" xfId="1" applyFont="1" applyFill="1" applyBorder="1"/>
    <xf numFmtId="0" fontId="9" fillId="3" borderId="0" xfId="0" applyFont="1" applyFill="1" applyAlignment="1">
      <alignment horizontal="center"/>
    </xf>
  </cellXfs>
  <cellStyles count="4">
    <cellStyle name="Moeda" xfId="1" builtinId="4"/>
    <cellStyle name="Normal" xfId="0" builtinId="0"/>
    <cellStyle name="Normal 2" xfId="3" xr:uid="{D4F7B5A0-13CE-4CA4-A588-98E9BB3874A3}"/>
    <cellStyle name="Porcentagem" xfId="2" builtinId="5"/>
  </cellStyles>
  <dxfs count="20">
    <dxf>
      <font>
        <color rgb="FF9C0006"/>
      </font>
    </dxf>
    <dxf>
      <font>
        <color theme="4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4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4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4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4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4D3DE-F1A2-4365-AB30-8F55D0C0C52F}">
  <dimension ref="C4:M43"/>
  <sheetViews>
    <sheetView workbookViewId="0">
      <selection activeCell="G13" sqref="G13"/>
    </sheetView>
  </sheetViews>
  <sheetFormatPr defaultRowHeight="15" x14ac:dyDescent="0.25"/>
  <cols>
    <col min="3" max="3" width="6.28515625" bestFit="1" customWidth="1"/>
    <col min="4" max="4" width="14" bestFit="1" customWidth="1"/>
    <col min="5" max="5" width="21.5703125" bestFit="1" customWidth="1"/>
    <col min="6" max="6" width="6.28515625" bestFit="1" customWidth="1"/>
    <col min="7" max="7" width="15.5703125" bestFit="1" customWidth="1"/>
    <col min="8" max="9" width="20.42578125" customWidth="1"/>
    <col min="10" max="10" width="16.5703125" bestFit="1" customWidth="1"/>
    <col min="11" max="11" width="27.7109375" customWidth="1"/>
    <col min="12" max="12" width="13.42578125" style="12" customWidth="1"/>
    <col min="13" max="13" width="14.42578125" bestFit="1" customWidth="1"/>
  </cols>
  <sheetData>
    <row r="4" spans="3:13" ht="24" x14ac:dyDescent="0.4">
      <c r="C4" s="88" t="s">
        <v>10</v>
      </c>
      <c r="D4" s="88"/>
      <c r="E4" s="88"/>
      <c r="F4" s="88"/>
      <c r="G4" s="88"/>
      <c r="H4" s="88"/>
      <c r="I4" s="88"/>
      <c r="J4" s="88"/>
      <c r="K4" s="88"/>
    </row>
    <row r="5" spans="3:13" ht="19.5" thickBot="1" x14ac:dyDescent="0.35">
      <c r="C5" s="13"/>
      <c r="D5" s="13"/>
      <c r="E5" s="13"/>
      <c r="F5" s="13"/>
      <c r="G5" s="13"/>
      <c r="H5" s="13"/>
      <c r="I5" s="13"/>
      <c r="J5" s="13"/>
      <c r="K5" s="13"/>
    </row>
    <row r="6" spans="3:13" ht="15.75" thickBot="1" x14ac:dyDescent="0.3">
      <c r="C6" s="20" t="s">
        <v>15</v>
      </c>
      <c r="D6" s="21" t="s">
        <v>14</v>
      </c>
      <c r="E6" s="21" t="s">
        <v>16</v>
      </c>
      <c r="F6" s="21"/>
      <c r="G6" s="22" t="s">
        <v>17</v>
      </c>
    </row>
    <row r="7" spans="3:13" x14ac:dyDescent="0.25">
      <c r="C7" s="16">
        <v>4</v>
      </c>
      <c r="D7" s="17" t="s">
        <v>11</v>
      </c>
      <c r="E7" s="18">
        <v>70000</v>
      </c>
      <c r="F7" s="17"/>
      <c r="G7" s="19">
        <f>E7*C7</f>
        <v>280000</v>
      </c>
    </row>
    <row r="8" spans="3:13" ht="15.75" thickBot="1" x14ac:dyDescent="0.3">
      <c r="C8" s="16">
        <v>27</v>
      </c>
      <c r="D8" s="17" t="s">
        <v>12</v>
      </c>
      <c r="E8" s="18">
        <v>100000</v>
      </c>
      <c r="F8" s="17"/>
      <c r="G8" s="19">
        <f>E8*C8</f>
        <v>2700000</v>
      </c>
    </row>
    <row r="9" spans="3:13" ht="15.75" thickBot="1" x14ac:dyDescent="0.3">
      <c r="C9" s="20"/>
      <c r="D9" s="21"/>
      <c r="E9" s="21" t="s">
        <v>13</v>
      </c>
      <c r="F9" s="21"/>
      <c r="G9" s="23">
        <f>SUM(G7:G8)</f>
        <v>2980000</v>
      </c>
    </row>
    <row r="11" spans="3:13" x14ac:dyDescent="0.25">
      <c r="G11" s="1" t="s">
        <v>0</v>
      </c>
    </row>
    <row r="12" spans="3:13" ht="30.75" x14ac:dyDescent="0.3">
      <c r="C12" s="41" t="s">
        <v>1</v>
      </c>
      <c r="D12" s="42" t="s">
        <v>2</v>
      </c>
      <c r="E12" s="42" t="s">
        <v>3</v>
      </c>
      <c r="F12" s="41" t="s">
        <v>1</v>
      </c>
      <c r="G12" s="43" t="s">
        <v>4</v>
      </c>
      <c r="H12" s="43" t="s">
        <v>5</v>
      </c>
      <c r="I12" s="43" t="s">
        <v>6</v>
      </c>
      <c r="J12" s="41" t="s">
        <v>7</v>
      </c>
      <c r="K12" s="41" t="s">
        <v>8</v>
      </c>
      <c r="L12" s="45" t="s">
        <v>211</v>
      </c>
      <c r="M12" s="44" t="s">
        <v>210</v>
      </c>
    </row>
    <row r="13" spans="3:13" x14ac:dyDescent="0.25">
      <c r="C13" s="2">
        <v>45901</v>
      </c>
      <c r="D13" s="3">
        <f>AVERAGE(G13)</f>
        <v>68867.22</v>
      </c>
      <c r="E13" s="3">
        <f>D13*30</f>
        <v>2066016.6</v>
      </c>
      <c r="F13" s="2">
        <v>45901</v>
      </c>
      <c r="G13" s="4">
        <f>PRODUÇAO!H37</f>
        <v>68867.22</v>
      </c>
      <c r="H13" s="5">
        <f>G13</f>
        <v>68867.22</v>
      </c>
      <c r="I13" s="6">
        <f>H13/3000000</f>
        <v>2.2955739999999999E-2</v>
      </c>
      <c r="J13" s="5">
        <f>H13*30</f>
        <v>2066016.6</v>
      </c>
      <c r="K13" s="7">
        <f>J13-3000000</f>
        <v>-933983.39999999991</v>
      </c>
      <c r="L13" s="46">
        <f>J13/3000000</f>
        <v>0.68867220000000007</v>
      </c>
      <c r="M13" s="15">
        <f>G13*8.5%</f>
        <v>5853.7137000000002</v>
      </c>
    </row>
    <row r="14" spans="3:13" x14ac:dyDescent="0.25">
      <c r="C14" s="2">
        <v>45902</v>
      </c>
      <c r="D14" s="3">
        <f>AVERAGE(G13:G14)</f>
        <v>110105.34999999999</v>
      </c>
      <c r="E14" s="3">
        <f t="shared" ref="E14:E42" si="0">D14*30</f>
        <v>3303160.4999999995</v>
      </c>
      <c r="F14" s="2">
        <v>45902</v>
      </c>
      <c r="G14" s="4">
        <f>PRODUÇAO!I37</f>
        <v>151343.47999999998</v>
      </c>
      <c r="H14" s="8">
        <f>H13+G14</f>
        <v>220210.69999999998</v>
      </c>
      <c r="I14" s="6">
        <f t="shared" ref="I14:I42" si="1">H14/3000000</f>
        <v>7.3403566666666656E-2</v>
      </c>
      <c r="J14" s="9">
        <f>H14/2*30</f>
        <v>3303160.4999999995</v>
      </c>
      <c r="K14" s="7">
        <f t="shared" ref="K14:K43" si="2">J14-3000000</f>
        <v>303160.49999999953</v>
      </c>
      <c r="L14" s="46">
        <f>J14/3000000</f>
        <v>1.1010534999999999</v>
      </c>
      <c r="M14" s="15">
        <f t="shared" ref="M14:M42" si="3">G14*8.5%</f>
        <v>12864.1958</v>
      </c>
    </row>
    <row r="15" spans="3:13" x14ac:dyDescent="0.25">
      <c r="C15" s="2">
        <v>45903</v>
      </c>
      <c r="D15" s="3">
        <f>AVERAGE(G13:G15)</f>
        <v>101606.70666666667</v>
      </c>
      <c r="E15" s="3">
        <f t="shared" si="0"/>
        <v>3048201.2</v>
      </c>
      <c r="F15" s="2">
        <v>45903</v>
      </c>
      <c r="G15" s="4">
        <f>PRODUÇAO!J37</f>
        <v>84609.42</v>
      </c>
      <c r="H15" s="8">
        <f t="shared" ref="H15:H42" si="4">H14+G15</f>
        <v>304820.12</v>
      </c>
      <c r="I15" s="6">
        <f t="shared" si="1"/>
        <v>0.10160670666666667</v>
      </c>
      <c r="J15" s="9">
        <f>H15/3*30</f>
        <v>3048201.2</v>
      </c>
      <c r="K15" s="7">
        <f t="shared" si="2"/>
        <v>48201.200000000186</v>
      </c>
      <c r="L15" s="46">
        <f t="shared" ref="L15:L42" si="5">J15/3000000</f>
        <v>1.0160670666666667</v>
      </c>
      <c r="M15" s="15">
        <f t="shared" si="3"/>
        <v>7191.8007000000007</v>
      </c>
    </row>
    <row r="16" spans="3:13" x14ac:dyDescent="0.25">
      <c r="C16" s="2">
        <v>45904</v>
      </c>
      <c r="D16" s="3">
        <f>AVERAGE(G13:G16)</f>
        <v>97246.03</v>
      </c>
      <c r="E16" s="3">
        <f t="shared" si="0"/>
        <v>2917380.9</v>
      </c>
      <c r="F16" s="2">
        <v>45904</v>
      </c>
      <c r="G16" s="4">
        <f>PRODUÇAO!K37</f>
        <v>84164</v>
      </c>
      <c r="H16" s="8">
        <f>H15+G16</f>
        <v>388984.12</v>
      </c>
      <c r="I16" s="6">
        <f t="shared" si="1"/>
        <v>0.12966137333333333</v>
      </c>
      <c r="J16" s="9">
        <f>H16/4*30</f>
        <v>2917380.9</v>
      </c>
      <c r="K16" s="7">
        <f t="shared" si="2"/>
        <v>-82619.100000000093</v>
      </c>
      <c r="L16" s="46">
        <f t="shared" si="5"/>
        <v>0.97246029999999994</v>
      </c>
      <c r="M16" s="15">
        <f t="shared" si="3"/>
        <v>7153.9400000000005</v>
      </c>
    </row>
    <row r="17" spans="3:13" x14ac:dyDescent="0.25">
      <c r="C17" s="2">
        <v>45905</v>
      </c>
      <c r="D17" s="3">
        <f>AVERAGE(G13:G17)</f>
        <v>117289.43248</v>
      </c>
      <c r="E17" s="3">
        <f t="shared" si="0"/>
        <v>3518682.9744000002</v>
      </c>
      <c r="F17" s="2">
        <v>45905</v>
      </c>
      <c r="G17" s="4">
        <f>PRODUÇAO!L37</f>
        <v>197463.04240000001</v>
      </c>
      <c r="H17" s="8">
        <f t="shared" si="4"/>
        <v>586447.16240000003</v>
      </c>
      <c r="I17" s="6">
        <f t="shared" si="1"/>
        <v>0.19548238746666668</v>
      </c>
      <c r="J17" s="9">
        <f>H17/5*30</f>
        <v>3518682.9744000002</v>
      </c>
      <c r="K17" s="7">
        <f t="shared" si="2"/>
        <v>518682.97440000018</v>
      </c>
      <c r="L17" s="46">
        <f t="shared" si="5"/>
        <v>1.1728943248000001</v>
      </c>
      <c r="M17" s="15">
        <f t="shared" si="3"/>
        <v>16784.358604000001</v>
      </c>
    </row>
    <row r="18" spans="3:13" x14ac:dyDescent="0.25">
      <c r="C18" s="2">
        <v>45906</v>
      </c>
      <c r="D18" s="3">
        <f>AVERAGE(G13:G18)</f>
        <v>108480.37373333333</v>
      </c>
      <c r="E18" s="3">
        <f t="shared" si="0"/>
        <v>3254411.2119999998</v>
      </c>
      <c r="F18" s="2">
        <v>45906</v>
      </c>
      <c r="G18" s="4">
        <f>PRODUÇAO!M37</f>
        <v>64435.08</v>
      </c>
      <c r="H18" s="8">
        <f>H17+G18</f>
        <v>650882.24239999999</v>
      </c>
      <c r="I18" s="6">
        <f t="shared" si="1"/>
        <v>0.21696074746666666</v>
      </c>
      <c r="J18" s="9">
        <f>H18/6*30</f>
        <v>3254411.2119999998</v>
      </c>
      <c r="K18" s="7">
        <f t="shared" si="2"/>
        <v>254411.21199999982</v>
      </c>
      <c r="L18" s="46">
        <f t="shared" si="5"/>
        <v>1.0848037373333332</v>
      </c>
      <c r="M18" s="15">
        <f t="shared" si="3"/>
        <v>5476.9818000000005</v>
      </c>
    </row>
    <row r="19" spans="3:13" x14ac:dyDescent="0.25">
      <c r="C19" s="2">
        <v>45907</v>
      </c>
      <c r="D19" s="3">
        <f>AVERAGE(G13:G19)</f>
        <v>92983.177485714288</v>
      </c>
      <c r="E19" s="3">
        <f t="shared" si="0"/>
        <v>2789495.3245714288</v>
      </c>
      <c r="F19" s="2">
        <v>45907</v>
      </c>
      <c r="G19" s="4">
        <f>PRODUÇAO!N37</f>
        <v>0</v>
      </c>
      <c r="H19" s="8">
        <f t="shared" si="4"/>
        <v>650882.24239999999</v>
      </c>
      <c r="I19" s="6">
        <f t="shared" si="1"/>
        <v>0.21696074746666666</v>
      </c>
      <c r="J19" s="9">
        <f>H19/7*30</f>
        <v>2789495.3245714288</v>
      </c>
      <c r="K19" s="7">
        <f t="shared" si="2"/>
        <v>-210504.67542857118</v>
      </c>
      <c r="L19" s="46">
        <f t="shared" si="5"/>
        <v>0.92983177485714297</v>
      </c>
      <c r="M19" s="15">
        <f t="shared" si="3"/>
        <v>0</v>
      </c>
    </row>
    <row r="20" spans="3:13" x14ac:dyDescent="0.25">
      <c r="C20" s="2">
        <v>45908</v>
      </c>
      <c r="D20" s="3">
        <f>AVERAGE(G13:G20)</f>
        <v>89929.392800000001</v>
      </c>
      <c r="E20" s="3">
        <f t="shared" si="0"/>
        <v>2697881.784</v>
      </c>
      <c r="F20" s="2">
        <v>45908</v>
      </c>
      <c r="G20" s="4">
        <f>PRODUÇAO!O37</f>
        <v>68552.899999999994</v>
      </c>
      <c r="H20" s="8">
        <f t="shared" si="4"/>
        <v>719435.14240000001</v>
      </c>
      <c r="I20" s="6">
        <f t="shared" si="1"/>
        <v>0.23981171413333333</v>
      </c>
      <c r="J20" s="9">
        <f>H20/8*30</f>
        <v>2697881.784</v>
      </c>
      <c r="K20" s="7">
        <f t="shared" si="2"/>
        <v>-302118.21600000001</v>
      </c>
      <c r="L20" s="46">
        <f t="shared" si="5"/>
        <v>0.89929392799999996</v>
      </c>
      <c r="M20" s="15">
        <f t="shared" si="3"/>
        <v>5826.9965000000002</v>
      </c>
    </row>
    <row r="21" spans="3:13" x14ac:dyDescent="0.25">
      <c r="C21" s="2">
        <v>45909</v>
      </c>
      <c r="D21" s="3">
        <f>AVERAGE(G13:G21)</f>
        <v>90053.33582222223</v>
      </c>
      <c r="E21" s="3">
        <f t="shared" si="0"/>
        <v>2701600.0746666668</v>
      </c>
      <c r="F21" s="2">
        <v>45909</v>
      </c>
      <c r="G21" s="4">
        <f>PRODUÇAO!P37</f>
        <v>91044.88</v>
      </c>
      <c r="H21" s="8">
        <f t="shared" si="4"/>
        <v>810480.02240000002</v>
      </c>
      <c r="I21" s="6">
        <f t="shared" si="1"/>
        <v>0.27016000746666669</v>
      </c>
      <c r="J21" s="9">
        <f>H21/9*30</f>
        <v>2701600.0746666668</v>
      </c>
      <c r="K21" s="7">
        <f t="shared" si="2"/>
        <v>-298399.9253333332</v>
      </c>
      <c r="L21" s="46">
        <f t="shared" si="5"/>
        <v>0.90053335822222225</v>
      </c>
      <c r="M21" s="15">
        <f t="shared" si="3"/>
        <v>7738.814800000001</v>
      </c>
    </row>
    <row r="22" spans="3:13" x14ac:dyDescent="0.25">
      <c r="C22" s="2">
        <v>45910</v>
      </c>
      <c r="D22" s="3">
        <f>AVERAGE(G13:G22)</f>
        <v>102910.08824</v>
      </c>
      <c r="E22" s="3">
        <f t="shared" si="0"/>
        <v>3087302.6472</v>
      </c>
      <c r="F22" s="2">
        <v>45910</v>
      </c>
      <c r="G22" s="4">
        <f>PRODUÇAO!Q37</f>
        <v>218620.86</v>
      </c>
      <c r="H22" s="8">
        <f t="shared" si="4"/>
        <v>1029100.8824</v>
      </c>
      <c r="I22" s="6">
        <f t="shared" si="1"/>
        <v>0.34303362746666666</v>
      </c>
      <c r="J22" s="9">
        <f>H22/10*30</f>
        <v>3087302.6472</v>
      </c>
      <c r="K22" s="7">
        <f t="shared" si="2"/>
        <v>87302.647200000007</v>
      </c>
      <c r="L22" s="46">
        <f t="shared" si="5"/>
        <v>1.0291008824000001</v>
      </c>
      <c r="M22" s="15">
        <f t="shared" si="3"/>
        <v>18582.773099999999</v>
      </c>
    </row>
    <row r="23" spans="3:13" x14ac:dyDescent="0.25">
      <c r="C23" s="2">
        <v>45911</v>
      </c>
      <c r="D23" s="3">
        <f>AVERAGE(G13:G23)</f>
        <v>98698.149309090906</v>
      </c>
      <c r="E23" s="3">
        <f t="shared" si="0"/>
        <v>2960944.4792727274</v>
      </c>
      <c r="F23" s="2">
        <v>45911</v>
      </c>
      <c r="G23" s="4">
        <f>PRODUÇAO!R37</f>
        <v>56578.759999999995</v>
      </c>
      <c r="H23" s="8">
        <f t="shared" si="4"/>
        <v>1085679.6424</v>
      </c>
      <c r="I23" s="6">
        <f t="shared" si="1"/>
        <v>0.36189321413333336</v>
      </c>
      <c r="J23" s="9">
        <f>H23/11*30</f>
        <v>2960944.4792727274</v>
      </c>
      <c r="K23" s="7">
        <f t="shared" si="2"/>
        <v>-39055.520727272611</v>
      </c>
      <c r="L23" s="46">
        <f t="shared" si="5"/>
        <v>0.9869814930909091</v>
      </c>
      <c r="M23" s="15">
        <f t="shared" si="3"/>
        <v>4809.1945999999998</v>
      </c>
    </row>
    <row r="24" spans="3:13" x14ac:dyDescent="0.25">
      <c r="C24" s="2">
        <v>45912</v>
      </c>
      <c r="D24" s="3">
        <f>AVERAGE(G13:G24)</f>
        <v>101855.13770000001</v>
      </c>
      <c r="E24" s="3">
        <f t="shared" si="0"/>
        <v>3055654.1310000001</v>
      </c>
      <c r="F24" s="2">
        <v>45912</v>
      </c>
      <c r="G24" s="4">
        <f>PRODUÇAO!S37</f>
        <v>136582.01</v>
      </c>
      <c r="H24" s="8">
        <f t="shared" si="4"/>
        <v>1222261.6524</v>
      </c>
      <c r="I24" s="6">
        <f t="shared" si="1"/>
        <v>0.4074205508</v>
      </c>
      <c r="J24" s="9">
        <f>H24/12*30</f>
        <v>3055654.1310000001</v>
      </c>
      <c r="K24" s="7">
        <f t="shared" si="2"/>
        <v>55654.131000000052</v>
      </c>
      <c r="L24" s="46">
        <f t="shared" si="5"/>
        <v>1.0185513770000001</v>
      </c>
      <c r="M24" s="15">
        <f t="shared" si="3"/>
        <v>11609.470850000002</v>
      </c>
    </row>
    <row r="25" spans="3:13" x14ac:dyDescent="0.25">
      <c r="C25" s="2">
        <v>45913</v>
      </c>
      <c r="D25" s="3">
        <f>AVERAGE(G13:G25)</f>
        <v>109065.37172307693</v>
      </c>
      <c r="E25" s="3">
        <f t="shared" si="0"/>
        <v>3271961.1516923076</v>
      </c>
      <c r="F25" s="2">
        <v>45913</v>
      </c>
      <c r="G25" s="4">
        <f>PRODUÇAO!T37</f>
        <v>195588.18</v>
      </c>
      <c r="H25" s="8">
        <f t="shared" si="4"/>
        <v>1417849.8324</v>
      </c>
      <c r="I25" s="6">
        <f t="shared" si="1"/>
        <v>0.4726166108</v>
      </c>
      <c r="J25" s="9">
        <f>H25/13*30</f>
        <v>3271961.1516923076</v>
      </c>
      <c r="K25" s="7">
        <f t="shared" si="2"/>
        <v>271961.15169230755</v>
      </c>
      <c r="L25" s="46">
        <f t="shared" si="5"/>
        <v>1.0906537172307691</v>
      </c>
      <c r="M25" s="15">
        <f t="shared" si="3"/>
        <v>16624.995300000002</v>
      </c>
    </row>
    <row r="26" spans="3:13" x14ac:dyDescent="0.25">
      <c r="C26" s="2">
        <v>45914</v>
      </c>
      <c r="D26" s="3">
        <f>AVERAGE(G13:G26)</f>
        <v>102966.4166</v>
      </c>
      <c r="E26" s="3">
        <f t="shared" si="0"/>
        <v>3088992.4979999997</v>
      </c>
      <c r="F26" s="2">
        <v>45914</v>
      </c>
      <c r="G26" s="4">
        <f>PRODUÇAO!U37</f>
        <v>23680</v>
      </c>
      <c r="H26" s="8">
        <f t="shared" si="4"/>
        <v>1441529.8324</v>
      </c>
      <c r="I26" s="6">
        <f t="shared" si="1"/>
        <v>0.48050994413333331</v>
      </c>
      <c r="J26" s="9">
        <f>H26/14*30</f>
        <v>3088992.4979999997</v>
      </c>
      <c r="K26" s="7">
        <f t="shared" si="2"/>
        <v>88992.497999999672</v>
      </c>
      <c r="L26" s="46">
        <f t="shared" si="5"/>
        <v>1.0296641659999999</v>
      </c>
      <c r="M26" s="15">
        <f t="shared" si="3"/>
        <v>2012.8000000000002</v>
      </c>
    </row>
    <row r="27" spans="3:13" x14ac:dyDescent="0.25">
      <c r="C27" s="2">
        <v>45915</v>
      </c>
      <c r="D27" s="3">
        <f>AVERAGE(G13:G27)</f>
        <v>98194.563493333335</v>
      </c>
      <c r="E27" s="3">
        <f t="shared" si="0"/>
        <v>2945836.9048000001</v>
      </c>
      <c r="F27" s="2">
        <v>45915</v>
      </c>
      <c r="G27" s="4">
        <f>PRODUÇAO!V37</f>
        <v>31388.620000000003</v>
      </c>
      <c r="H27" s="8">
        <f t="shared" si="4"/>
        <v>1472918.4524000001</v>
      </c>
      <c r="I27" s="6">
        <f t="shared" si="1"/>
        <v>0.49097281746666671</v>
      </c>
      <c r="J27" s="9">
        <f>H27/15*30</f>
        <v>2945836.9048000001</v>
      </c>
      <c r="K27" s="7">
        <f t="shared" si="2"/>
        <v>-54163.095199999865</v>
      </c>
      <c r="L27" s="46">
        <f t="shared" si="5"/>
        <v>0.98194563493333342</v>
      </c>
      <c r="M27" s="15">
        <f t="shared" si="3"/>
        <v>2668.0327000000002</v>
      </c>
    </row>
    <row r="28" spans="3:13" x14ac:dyDescent="0.25">
      <c r="C28" s="2">
        <v>45916</v>
      </c>
      <c r="D28" s="3">
        <f>AVERAGE(G13:G28)</f>
        <v>95916.966400000005</v>
      </c>
      <c r="E28" s="3">
        <f t="shared" si="0"/>
        <v>2877508.9920000001</v>
      </c>
      <c r="F28" s="2">
        <v>45916</v>
      </c>
      <c r="G28" s="4">
        <f>PRODUÇAO!W37</f>
        <v>61753.01</v>
      </c>
      <c r="H28" s="8">
        <f t="shared" si="4"/>
        <v>1534671.4624000001</v>
      </c>
      <c r="I28" s="6">
        <f t="shared" si="1"/>
        <v>0.51155715413333336</v>
      </c>
      <c r="J28" s="9">
        <f>H28/16*30</f>
        <v>2877508.9920000001</v>
      </c>
      <c r="K28" s="7">
        <f t="shared" si="2"/>
        <v>-122491.00799999991</v>
      </c>
      <c r="L28" s="46">
        <f t="shared" si="5"/>
        <v>0.95916966400000003</v>
      </c>
      <c r="M28" s="15">
        <f t="shared" si="3"/>
        <v>5249.0058500000005</v>
      </c>
    </row>
    <row r="29" spans="3:13" x14ac:dyDescent="0.25">
      <c r="C29" s="2">
        <v>45917</v>
      </c>
      <c r="D29" s="3">
        <f>AVERAGE(G13:G29)</f>
        <v>95721.516023529417</v>
      </c>
      <c r="E29" s="3">
        <f t="shared" si="0"/>
        <v>2871645.4807058824</v>
      </c>
      <c r="F29" s="2">
        <v>45917</v>
      </c>
      <c r="G29" s="4">
        <f>PRODUÇAO!X37</f>
        <v>92594.31</v>
      </c>
      <c r="H29" s="8">
        <f t="shared" si="4"/>
        <v>1627265.7724000001</v>
      </c>
      <c r="I29" s="6">
        <f t="shared" si="1"/>
        <v>0.54242192413333334</v>
      </c>
      <c r="J29" s="9">
        <f>H29/17*30</f>
        <v>2871645.4807058824</v>
      </c>
      <c r="K29" s="7">
        <f t="shared" si="2"/>
        <v>-128354.51929411758</v>
      </c>
      <c r="L29" s="46">
        <f t="shared" si="5"/>
        <v>0.95721516023529418</v>
      </c>
      <c r="M29" s="15">
        <f t="shared" si="3"/>
        <v>7870.5163500000008</v>
      </c>
    </row>
    <row r="30" spans="3:13" x14ac:dyDescent="0.25">
      <c r="C30" s="2">
        <v>45918</v>
      </c>
      <c r="D30" s="3">
        <f>AVERAGE(G13:G30)</f>
        <v>97856.867355555572</v>
      </c>
      <c r="E30" s="3">
        <f t="shared" si="0"/>
        <v>2935706.0206666673</v>
      </c>
      <c r="F30" s="2">
        <v>45918</v>
      </c>
      <c r="G30" s="4">
        <f>PRODUÇAO!Y37</f>
        <v>134157.84</v>
      </c>
      <c r="H30" s="8">
        <f t="shared" si="4"/>
        <v>1761423.6124000002</v>
      </c>
      <c r="I30" s="6">
        <f t="shared" si="1"/>
        <v>0.58714120413333337</v>
      </c>
      <c r="J30" s="9">
        <f>H30/18*30</f>
        <v>2935706.0206666673</v>
      </c>
      <c r="K30" s="7">
        <f t="shared" si="2"/>
        <v>-64293.97933333274</v>
      </c>
      <c r="L30" s="46">
        <f t="shared" si="5"/>
        <v>0.97856867355555577</v>
      </c>
      <c r="M30" s="15">
        <f t="shared" si="3"/>
        <v>11403.4164</v>
      </c>
    </row>
    <row r="31" spans="3:13" x14ac:dyDescent="0.25">
      <c r="C31" s="2">
        <v>45919</v>
      </c>
      <c r="D31" s="3">
        <f>AVERAGE(G13:G31)</f>
        <v>106216.67486315791</v>
      </c>
      <c r="E31" s="3">
        <f t="shared" si="0"/>
        <v>3186500.2458947375</v>
      </c>
      <c r="F31" s="2">
        <v>45919</v>
      </c>
      <c r="G31" s="4">
        <f>PRODUÇAO!Z37</f>
        <v>256693.21</v>
      </c>
      <c r="H31" s="8">
        <f t="shared" si="4"/>
        <v>2018116.8224000002</v>
      </c>
      <c r="I31" s="6">
        <f t="shared" si="1"/>
        <v>0.67270560746666674</v>
      </c>
      <c r="J31" s="9">
        <f>H31/19*30</f>
        <v>3186500.2458947375</v>
      </c>
      <c r="K31" s="7">
        <f t="shared" si="2"/>
        <v>186500.24589473754</v>
      </c>
      <c r="L31" s="46">
        <f t="shared" si="5"/>
        <v>1.0621667486315791</v>
      </c>
      <c r="M31" s="15">
        <f t="shared" si="3"/>
        <v>21818.922850000003</v>
      </c>
    </row>
    <row r="32" spans="3:13" x14ac:dyDescent="0.25">
      <c r="C32" s="2">
        <v>45920</v>
      </c>
      <c r="D32" s="3">
        <f>AVERAGE(G13:G32)</f>
        <v>105118.38462</v>
      </c>
      <c r="E32" s="3">
        <f t="shared" si="0"/>
        <v>3153551.5386000001</v>
      </c>
      <c r="F32" s="2">
        <v>45920</v>
      </c>
      <c r="G32" s="4">
        <f>PRODUÇAO!AA37</f>
        <v>84250.87</v>
      </c>
      <c r="H32" s="8">
        <f t="shared" si="4"/>
        <v>2102367.6924000001</v>
      </c>
      <c r="I32" s="6">
        <f t="shared" si="1"/>
        <v>0.7007892308</v>
      </c>
      <c r="J32" s="9">
        <f>H32/20*30</f>
        <v>3153551.5386000001</v>
      </c>
      <c r="K32" s="7">
        <f t="shared" si="2"/>
        <v>153551.53860000009</v>
      </c>
      <c r="L32" s="46">
        <f t="shared" si="5"/>
        <v>1.0511838462</v>
      </c>
      <c r="M32" s="15">
        <f t="shared" si="3"/>
        <v>7161.32395</v>
      </c>
    </row>
    <row r="33" spans="3:13" x14ac:dyDescent="0.25">
      <c r="C33" s="2">
        <v>45921</v>
      </c>
      <c r="D33" s="3">
        <f>AVERAGE(G13:G33)</f>
        <v>101627.03297142858</v>
      </c>
      <c r="E33" s="3">
        <f t="shared" si="0"/>
        <v>3048810.9891428575</v>
      </c>
      <c r="F33" s="2">
        <v>45921</v>
      </c>
      <c r="G33" s="4">
        <f>PRODUÇAO!AB37</f>
        <v>31800</v>
      </c>
      <c r="H33" s="8">
        <f t="shared" si="4"/>
        <v>2134167.6924000001</v>
      </c>
      <c r="I33" s="6">
        <f t="shared" si="1"/>
        <v>0.71138923080000005</v>
      </c>
      <c r="J33" s="9">
        <f>H33/21*30</f>
        <v>3048810.9891428575</v>
      </c>
      <c r="K33" s="7">
        <f t="shared" si="2"/>
        <v>48810.989142857492</v>
      </c>
      <c r="L33" s="46">
        <f t="shared" si="5"/>
        <v>1.0162703297142859</v>
      </c>
      <c r="M33" s="15">
        <f t="shared" si="3"/>
        <v>2703</v>
      </c>
    </row>
    <row r="34" spans="3:13" x14ac:dyDescent="0.25">
      <c r="C34" s="2">
        <v>45922</v>
      </c>
      <c r="D34" s="3">
        <f>AVERAGE(G13:G34)</f>
        <v>102839.88692727272</v>
      </c>
      <c r="E34" s="3">
        <f t="shared" si="0"/>
        <v>3085196.6078181816</v>
      </c>
      <c r="F34" s="2">
        <v>45922</v>
      </c>
      <c r="G34" s="4">
        <f>PRODUÇAO!AC37</f>
        <v>128309.82</v>
      </c>
      <c r="H34" s="8">
        <f t="shared" si="4"/>
        <v>2262477.5123999999</v>
      </c>
      <c r="I34" s="6">
        <f t="shared" si="1"/>
        <v>0.75415917079999994</v>
      </c>
      <c r="J34" s="9">
        <f>H34/22*30</f>
        <v>3085196.6078181816</v>
      </c>
      <c r="K34" s="7">
        <f t="shared" si="2"/>
        <v>85196.607818181626</v>
      </c>
      <c r="L34" s="46">
        <f t="shared" si="5"/>
        <v>1.0283988692727273</v>
      </c>
      <c r="M34" s="15">
        <f t="shared" si="3"/>
        <v>10906.334700000001</v>
      </c>
    </row>
    <row r="35" spans="3:13" x14ac:dyDescent="0.25">
      <c r="C35" s="2">
        <v>45923</v>
      </c>
      <c r="D35" s="3">
        <f>AVERAGE(G13:G35)</f>
        <v>100094.42706086957</v>
      </c>
      <c r="E35" s="3">
        <f t="shared" si="0"/>
        <v>3002832.8118260871</v>
      </c>
      <c r="F35" s="2">
        <v>45923</v>
      </c>
      <c r="G35" s="4">
        <f>PRODUÇAO!AD37</f>
        <v>39694.31</v>
      </c>
      <c r="H35" s="8">
        <f t="shared" si="4"/>
        <v>2302171.8223999999</v>
      </c>
      <c r="I35" s="6">
        <f t="shared" si="1"/>
        <v>0.76739060746666665</v>
      </c>
      <c r="J35" s="9">
        <f>H35/23*30</f>
        <v>3002832.8118260871</v>
      </c>
      <c r="K35" s="7">
        <f t="shared" si="2"/>
        <v>2832.8118260870688</v>
      </c>
      <c r="L35" s="46">
        <f t="shared" si="5"/>
        <v>1.0009442706086957</v>
      </c>
      <c r="M35" s="15">
        <f t="shared" si="3"/>
        <v>3374.0163499999999</v>
      </c>
    </row>
    <row r="36" spans="3:13" x14ac:dyDescent="0.25">
      <c r="C36" s="2">
        <v>45924</v>
      </c>
      <c r="D36" s="3">
        <f>AVERAGE(G13:G36)</f>
        <v>102306.21551666666</v>
      </c>
      <c r="E36" s="3">
        <f t="shared" si="0"/>
        <v>3069186.4654999999</v>
      </c>
      <c r="F36" s="2">
        <v>45924</v>
      </c>
      <c r="G36" s="4">
        <f>PRODUÇAO!AE37</f>
        <v>153177.34999999998</v>
      </c>
      <c r="H36" s="8">
        <f t="shared" si="4"/>
        <v>2455349.1724</v>
      </c>
      <c r="I36" s="6">
        <f t="shared" si="1"/>
        <v>0.81844972413333339</v>
      </c>
      <c r="J36" s="9">
        <f>H36/24*30</f>
        <v>3069186.4654999999</v>
      </c>
      <c r="K36" s="7">
        <f t="shared" si="2"/>
        <v>69186.465499999933</v>
      </c>
      <c r="L36" s="46">
        <f t="shared" si="5"/>
        <v>1.0230621551666665</v>
      </c>
      <c r="M36" s="15">
        <f t="shared" si="3"/>
        <v>13020.07475</v>
      </c>
    </row>
    <row r="37" spans="3:13" x14ac:dyDescent="0.25">
      <c r="C37" s="2">
        <v>45925</v>
      </c>
      <c r="D37" s="3">
        <f>AVERAGE(G13:G37)</f>
        <v>101858.82129599999</v>
      </c>
      <c r="E37" s="3">
        <f t="shared" si="0"/>
        <v>3055764.63888</v>
      </c>
      <c r="F37" s="2">
        <v>45925</v>
      </c>
      <c r="G37" s="4">
        <f>PRODUÇAO!AF37</f>
        <v>91121.36</v>
      </c>
      <c r="H37" s="8">
        <f t="shared" si="4"/>
        <v>2546470.5323999999</v>
      </c>
      <c r="I37" s="6">
        <f t="shared" si="1"/>
        <v>0.84882351079999996</v>
      </c>
      <c r="J37" s="9">
        <f>H37/25*30</f>
        <v>3055764.63888</v>
      </c>
      <c r="K37" s="7">
        <f t="shared" si="2"/>
        <v>55764.638879999984</v>
      </c>
      <c r="L37" s="46">
        <f t="shared" si="5"/>
        <v>1.0185882129599999</v>
      </c>
      <c r="M37" s="15">
        <f t="shared" si="3"/>
        <v>7745.3156000000008</v>
      </c>
    </row>
    <row r="38" spans="3:13" x14ac:dyDescent="0.25">
      <c r="C38" s="2">
        <v>45926</v>
      </c>
      <c r="D38" s="3">
        <f>AVERAGE(G13:G38)</f>
        <v>103382.85124615385</v>
      </c>
      <c r="E38" s="3">
        <f t="shared" si="0"/>
        <v>3101485.5373846153</v>
      </c>
      <c r="F38" s="2">
        <v>45926</v>
      </c>
      <c r="G38" s="4">
        <f>PRODUÇAO!AG37</f>
        <v>141483.59999999998</v>
      </c>
      <c r="H38" s="8">
        <f t="shared" si="4"/>
        <v>2687954.1324</v>
      </c>
      <c r="I38" s="6">
        <f t="shared" si="1"/>
        <v>0.89598471079999997</v>
      </c>
      <c r="J38" s="9">
        <f>H38/26*30</f>
        <v>3101485.5373846153</v>
      </c>
      <c r="K38" s="7">
        <f t="shared" si="2"/>
        <v>101485.53738461528</v>
      </c>
      <c r="L38" s="46">
        <f t="shared" si="5"/>
        <v>1.0338285124615385</v>
      </c>
      <c r="M38" s="15">
        <f t="shared" si="3"/>
        <v>12026.106</v>
      </c>
    </row>
    <row r="39" spans="3:13" x14ac:dyDescent="0.25">
      <c r="C39" s="2">
        <v>45927</v>
      </c>
      <c r="D39" s="3">
        <f>AVERAGE(G13:G39)</f>
        <v>101989.75564444445</v>
      </c>
      <c r="E39" s="3">
        <f t="shared" si="0"/>
        <v>3059692.6693333336</v>
      </c>
      <c r="F39" s="2">
        <v>45927</v>
      </c>
      <c r="G39" s="4">
        <f>PRODUÇAO!AH37</f>
        <v>65769.27</v>
      </c>
      <c r="H39" s="8">
        <f t="shared" si="4"/>
        <v>2753723.4024</v>
      </c>
      <c r="I39" s="6">
        <f t="shared" si="1"/>
        <v>0.91790780080000001</v>
      </c>
      <c r="J39" s="9">
        <f>H39/27*30</f>
        <v>3059692.6693333336</v>
      </c>
      <c r="K39" s="7">
        <f t="shared" si="2"/>
        <v>59692.669333333615</v>
      </c>
      <c r="L39" s="46">
        <f t="shared" si="5"/>
        <v>1.0198975564444446</v>
      </c>
      <c r="M39" s="15">
        <f t="shared" si="3"/>
        <v>5590.3879500000012</v>
      </c>
    </row>
    <row r="40" spans="3:13" x14ac:dyDescent="0.25">
      <c r="C40" s="2">
        <v>45928</v>
      </c>
      <c r="D40" s="3">
        <f>AVERAGE(G13:G40)</f>
        <v>100604.40722857144</v>
      </c>
      <c r="E40" s="3">
        <f t="shared" si="0"/>
        <v>3018132.2168571432</v>
      </c>
      <c r="F40" s="2">
        <v>45928</v>
      </c>
      <c r="G40" s="4">
        <f>PRODUÇAO!AI37</f>
        <v>63200</v>
      </c>
      <c r="H40" s="8">
        <f t="shared" si="4"/>
        <v>2816923.4024</v>
      </c>
      <c r="I40" s="6">
        <f t="shared" si="1"/>
        <v>0.93897446746666668</v>
      </c>
      <c r="J40" s="9">
        <f>H40/28*30</f>
        <v>3018132.2168571432</v>
      </c>
      <c r="K40" s="7">
        <f t="shared" si="2"/>
        <v>18132.216857143212</v>
      </c>
      <c r="L40" s="46">
        <f t="shared" si="5"/>
        <v>1.0060440722857145</v>
      </c>
      <c r="M40" s="15">
        <f t="shared" si="3"/>
        <v>5372</v>
      </c>
    </row>
    <row r="41" spans="3:13" x14ac:dyDescent="0.25">
      <c r="C41" s="2">
        <v>45929</v>
      </c>
      <c r="D41" s="3">
        <f>AVERAGE(G13:G41)</f>
        <v>100771.70180689656</v>
      </c>
      <c r="E41" s="3">
        <f t="shared" si="0"/>
        <v>3023151.0542068966</v>
      </c>
      <c r="F41" s="2">
        <v>45929</v>
      </c>
      <c r="G41" s="4">
        <f>PRODUÇAO!AJ37</f>
        <v>105455.95</v>
      </c>
      <c r="H41" s="8">
        <f t="shared" si="4"/>
        <v>2922379.3524000002</v>
      </c>
      <c r="I41" s="6">
        <f t="shared" si="1"/>
        <v>0.97412645080000004</v>
      </c>
      <c r="J41" s="9">
        <f>H41/29*30</f>
        <v>3023151.0542068966</v>
      </c>
      <c r="K41" s="7">
        <f t="shared" si="2"/>
        <v>23151.054206896573</v>
      </c>
      <c r="L41" s="46">
        <f t="shared" si="5"/>
        <v>1.0077170180689656</v>
      </c>
      <c r="M41" s="15">
        <f t="shared" si="3"/>
        <v>8963.7557500000003</v>
      </c>
    </row>
    <row r="42" spans="3:13" x14ac:dyDescent="0.25">
      <c r="C42" s="2">
        <v>45930</v>
      </c>
      <c r="D42" s="3">
        <f>AVERAGE(G13:G42)</f>
        <v>105617.50708</v>
      </c>
      <c r="E42" s="3">
        <f t="shared" si="0"/>
        <v>3168525.2124000001</v>
      </c>
      <c r="F42" s="2">
        <v>45930</v>
      </c>
      <c r="G42" s="4">
        <f>PRODUÇAO!AK37</f>
        <v>246145.86000000002</v>
      </c>
      <c r="H42" s="8">
        <f t="shared" si="4"/>
        <v>3168525.2124000001</v>
      </c>
      <c r="I42" s="6">
        <f t="shared" si="1"/>
        <v>1.0561750707999999</v>
      </c>
      <c r="J42" s="9">
        <f>H42/30*30</f>
        <v>3168525.2124000001</v>
      </c>
      <c r="K42" s="7">
        <f t="shared" si="2"/>
        <v>168525.21240000008</v>
      </c>
      <c r="L42" s="46">
        <f t="shared" si="5"/>
        <v>1.0561750707999999</v>
      </c>
      <c r="M42" s="15">
        <f t="shared" si="3"/>
        <v>20922.398100000002</v>
      </c>
    </row>
    <row r="43" spans="3:13" x14ac:dyDescent="0.25">
      <c r="C43" s="10"/>
      <c r="D43" s="3">
        <f>AVERAGE(D13:D42)</f>
        <v>100405.79206979947</v>
      </c>
      <c r="F43" s="10"/>
      <c r="G43" s="11" t="s">
        <v>9</v>
      </c>
      <c r="H43" s="10"/>
      <c r="I43" s="10"/>
      <c r="J43" s="10"/>
      <c r="K43" s="7">
        <f t="shared" si="2"/>
        <v>-3000000</v>
      </c>
      <c r="L43" s="14"/>
      <c r="M43" s="15">
        <f>SUM(M13:M42)</f>
        <v>269324.64305400004</v>
      </c>
    </row>
  </sheetData>
  <mergeCells count="1">
    <mergeCell ref="C4:K4"/>
  </mergeCells>
  <conditionalFormatting sqref="K1:K3 K6:K11 K44:K1048576">
    <cfRule type="cellIs" dxfId="19" priority="6" stopIfTrue="1" operator="greaterThan">
      <formula>100675.95</formula>
    </cfRule>
  </conditionalFormatting>
  <conditionalFormatting sqref="K13:K43">
    <cfRule type="cellIs" dxfId="18" priority="1" operator="lessThan">
      <formula>0</formula>
    </cfRule>
    <cfRule type="cellIs" dxfId="17" priority="2" operator="greaterThan">
      <formula>0</formula>
    </cfRule>
    <cfRule type="cellIs" dxfId="16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9A02-C714-4FFA-9689-044AF93A97B2}">
  <dimension ref="A4:AS38"/>
  <sheetViews>
    <sheetView topLeftCell="A21" workbookViewId="0">
      <pane xSplit="1" topLeftCell="B1" activePane="topRight" state="frozen"/>
      <selection pane="topRight" activeCell="AK42" sqref="AK42"/>
    </sheetView>
  </sheetViews>
  <sheetFormatPr defaultRowHeight="15" x14ac:dyDescent="0.25"/>
  <cols>
    <col min="1" max="1" width="43" style="33" bestFit="1" customWidth="1"/>
    <col min="2" max="2" width="21.140625" style="33" bestFit="1" customWidth="1"/>
    <col min="3" max="3" width="15" style="33" bestFit="1" customWidth="1"/>
    <col min="4" max="5" width="16.5703125" style="33" hidden="1" customWidth="1"/>
    <col min="6" max="6" width="21.85546875" style="34" hidden="1" customWidth="1"/>
    <col min="7" max="7" width="27.28515625" style="34" hidden="1" customWidth="1"/>
    <col min="8" max="8" width="14.140625" bestFit="1" customWidth="1"/>
    <col min="9" max="10" width="15.28515625" bestFit="1" customWidth="1"/>
    <col min="11" max="11" width="14.5703125" bestFit="1" customWidth="1"/>
    <col min="12" max="12" width="15.7109375" bestFit="1" customWidth="1"/>
    <col min="13" max="13" width="14.5703125" bestFit="1" customWidth="1"/>
    <col min="14" max="14" width="9.140625" bestFit="1" customWidth="1"/>
    <col min="15" max="16" width="14.5703125" bestFit="1" customWidth="1"/>
    <col min="17" max="17" width="15.7109375" bestFit="1" customWidth="1"/>
    <col min="18" max="18" width="14.5703125" bestFit="1" customWidth="1"/>
    <col min="19" max="20" width="15.7109375" bestFit="1" customWidth="1"/>
    <col min="21" max="23" width="14.5703125" bestFit="1" customWidth="1"/>
    <col min="24" max="26" width="15.7109375" bestFit="1" customWidth="1"/>
    <col min="27" max="28" width="14.5703125" bestFit="1" customWidth="1"/>
    <col min="29" max="29" width="15.7109375" bestFit="1" customWidth="1"/>
    <col min="30" max="30" width="14.5703125" bestFit="1" customWidth="1"/>
    <col min="31" max="31" width="15.7109375" bestFit="1" customWidth="1"/>
    <col min="32" max="32" width="14.5703125" bestFit="1" customWidth="1"/>
    <col min="33" max="33" width="15.7109375" bestFit="1" customWidth="1"/>
    <col min="34" max="35" width="14.5703125" bestFit="1" customWidth="1"/>
    <col min="36" max="37" width="15.7109375" bestFit="1" customWidth="1"/>
    <col min="38" max="38" width="17.5703125" bestFit="1" customWidth="1"/>
    <col min="39" max="40" width="15.7109375" bestFit="1" customWidth="1"/>
  </cols>
  <sheetData>
    <row r="4" spans="1:45" ht="21" x14ac:dyDescent="0.35">
      <c r="A4" s="25" t="s">
        <v>18</v>
      </c>
      <c r="B4" s="25" t="s">
        <v>19</v>
      </c>
      <c r="C4" s="25" t="s">
        <v>20</v>
      </c>
      <c r="D4" s="25" t="s">
        <v>21</v>
      </c>
      <c r="E4" s="25" t="s">
        <v>22</v>
      </c>
      <c r="F4" s="25" t="s">
        <v>23</v>
      </c>
      <c r="G4" s="25" t="s">
        <v>24</v>
      </c>
      <c r="H4" s="36">
        <v>45901</v>
      </c>
      <c r="I4" s="36">
        <v>45902</v>
      </c>
      <c r="J4" s="36">
        <v>45903</v>
      </c>
      <c r="K4" s="36">
        <v>45904</v>
      </c>
      <c r="L4" s="36">
        <v>45905</v>
      </c>
      <c r="M4" s="36">
        <v>45906</v>
      </c>
      <c r="N4" s="36">
        <v>45907</v>
      </c>
      <c r="O4" s="36">
        <v>45908</v>
      </c>
      <c r="P4" s="36">
        <v>45909</v>
      </c>
      <c r="Q4" s="36">
        <v>45910</v>
      </c>
      <c r="R4" s="36">
        <v>45911</v>
      </c>
      <c r="S4" s="36">
        <v>45912</v>
      </c>
      <c r="T4" s="36">
        <v>45913</v>
      </c>
      <c r="U4" s="36">
        <v>45914</v>
      </c>
      <c r="V4" s="36">
        <v>45915</v>
      </c>
      <c r="W4" s="36">
        <v>45916</v>
      </c>
      <c r="X4" s="36">
        <v>45917</v>
      </c>
      <c r="Y4" s="36">
        <v>45918</v>
      </c>
      <c r="Z4" s="36">
        <v>45919</v>
      </c>
      <c r="AA4" s="36">
        <v>45920</v>
      </c>
      <c r="AB4" s="36">
        <v>45921</v>
      </c>
      <c r="AC4" s="36">
        <v>45922</v>
      </c>
      <c r="AD4" s="36">
        <v>45923</v>
      </c>
      <c r="AE4" s="36">
        <v>45924</v>
      </c>
      <c r="AF4" s="36">
        <v>45925</v>
      </c>
      <c r="AG4" s="36">
        <v>45926</v>
      </c>
      <c r="AH4" s="36">
        <v>45927</v>
      </c>
      <c r="AI4" s="36">
        <v>45928</v>
      </c>
      <c r="AJ4" s="36">
        <v>45929</v>
      </c>
      <c r="AK4" s="36">
        <v>45930</v>
      </c>
      <c r="AL4" s="39" t="s">
        <v>13</v>
      </c>
      <c r="AM4" s="39" t="s">
        <v>209</v>
      </c>
      <c r="AN4" s="39" t="s">
        <v>210</v>
      </c>
      <c r="AO4" s="24" t="s">
        <v>9</v>
      </c>
      <c r="AP4" s="24" t="s">
        <v>9</v>
      </c>
      <c r="AQ4" s="24" t="s">
        <v>9</v>
      </c>
      <c r="AR4" s="24" t="s">
        <v>9</v>
      </c>
      <c r="AS4" s="24" t="s">
        <v>9</v>
      </c>
    </row>
    <row r="5" spans="1:45" ht="21" x14ac:dyDescent="0.35">
      <c r="A5" s="26" t="s">
        <v>32</v>
      </c>
      <c r="B5" s="27" t="s">
        <v>33</v>
      </c>
      <c r="C5" s="28" t="s">
        <v>34</v>
      </c>
      <c r="D5" s="27" t="s">
        <v>28</v>
      </c>
      <c r="E5" s="27" t="s">
        <v>29</v>
      </c>
      <c r="F5" s="27" t="s">
        <v>30</v>
      </c>
      <c r="G5" s="27" t="s">
        <v>31</v>
      </c>
      <c r="H5" s="47"/>
      <c r="I5" s="47">
        <v>0</v>
      </c>
      <c r="J5" s="47">
        <v>0</v>
      </c>
      <c r="K5" s="47">
        <v>0</v>
      </c>
      <c r="L5" s="47">
        <v>0</v>
      </c>
      <c r="M5" s="47">
        <v>3761.62</v>
      </c>
      <c r="N5" s="47">
        <v>0</v>
      </c>
      <c r="O5" s="47">
        <v>0</v>
      </c>
      <c r="P5" s="47">
        <v>0</v>
      </c>
      <c r="Q5" s="52">
        <v>0</v>
      </c>
      <c r="R5" s="47">
        <v>0</v>
      </c>
      <c r="S5" s="47">
        <v>0</v>
      </c>
      <c r="T5" s="47">
        <v>20099.95</v>
      </c>
      <c r="U5" s="47">
        <v>0</v>
      </c>
      <c r="V5" s="47">
        <v>0</v>
      </c>
      <c r="W5" s="47">
        <v>0</v>
      </c>
      <c r="X5" s="47">
        <v>0</v>
      </c>
      <c r="Y5" s="47">
        <v>0</v>
      </c>
      <c r="Z5" s="47">
        <v>36100</v>
      </c>
      <c r="AA5" s="47">
        <v>0</v>
      </c>
      <c r="AB5" s="47">
        <v>0</v>
      </c>
      <c r="AC5" s="47">
        <v>0</v>
      </c>
      <c r="AD5" s="47">
        <v>0</v>
      </c>
      <c r="AE5" s="47">
        <v>0</v>
      </c>
      <c r="AF5" s="47">
        <v>0</v>
      </c>
      <c r="AG5" s="47">
        <v>0</v>
      </c>
      <c r="AH5" s="47">
        <v>0</v>
      </c>
      <c r="AI5" s="47">
        <v>0</v>
      </c>
      <c r="AJ5" s="47">
        <v>0</v>
      </c>
      <c r="AK5" s="47">
        <v>32945.4</v>
      </c>
      <c r="AL5" s="40">
        <f>SUM(H5:AK5)</f>
        <v>92906.97</v>
      </c>
      <c r="AM5" s="40">
        <f>AVERAGE(H5:AK5)</f>
        <v>3203.6886206896552</v>
      </c>
      <c r="AN5" s="40">
        <f>AL5*8.5%</f>
        <v>7897.092450000001</v>
      </c>
    </row>
    <row r="6" spans="1:45" ht="21" x14ac:dyDescent="0.35">
      <c r="A6" s="26" t="s">
        <v>38</v>
      </c>
      <c r="B6" s="27" t="s">
        <v>39</v>
      </c>
      <c r="C6" s="28" t="s">
        <v>40</v>
      </c>
      <c r="D6" s="27" t="s">
        <v>35</v>
      </c>
      <c r="E6" s="27" t="s">
        <v>36</v>
      </c>
      <c r="F6" s="27" t="s">
        <v>37</v>
      </c>
      <c r="G6" s="27" t="s">
        <v>31</v>
      </c>
      <c r="H6" s="47">
        <v>31203.85</v>
      </c>
      <c r="I6" s="47">
        <v>0</v>
      </c>
      <c r="J6" s="47">
        <v>0</v>
      </c>
      <c r="K6" s="47">
        <v>0</v>
      </c>
      <c r="L6" s="47">
        <v>36100</v>
      </c>
      <c r="M6" s="47">
        <v>0</v>
      </c>
      <c r="N6" s="47">
        <v>0</v>
      </c>
      <c r="O6" s="47">
        <v>0</v>
      </c>
      <c r="P6" s="47">
        <v>0</v>
      </c>
      <c r="Q6" s="47">
        <v>0</v>
      </c>
      <c r="R6" s="47">
        <v>0</v>
      </c>
      <c r="S6" s="47">
        <v>0</v>
      </c>
      <c r="T6" s="47">
        <v>0</v>
      </c>
      <c r="U6" s="47">
        <v>0</v>
      </c>
      <c r="V6" s="47">
        <v>0</v>
      </c>
      <c r="W6" s="47">
        <v>0</v>
      </c>
      <c r="X6" s="47"/>
      <c r="Y6" s="47">
        <v>28020.2</v>
      </c>
      <c r="Z6" s="47">
        <v>0</v>
      </c>
      <c r="AA6" s="47">
        <v>0</v>
      </c>
      <c r="AB6" s="47">
        <v>0</v>
      </c>
      <c r="AC6" s="47">
        <v>0</v>
      </c>
      <c r="AD6" s="47">
        <v>0</v>
      </c>
      <c r="AE6" s="47">
        <v>23900</v>
      </c>
      <c r="AF6" s="47">
        <v>0</v>
      </c>
      <c r="AG6" s="47">
        <v>0</v>
      </c>
      <c r="AH6" s="47">
        <v>0</v>
      </c>
      <c r="AI6" s="47">
        <v>0</v>
      </c>
      <c r="AJ6" s="47">
        <v>0</v>
      </c>
      <c r="AK6" s="47">
        <v>6878.88</v>
      </c>
      <c r="AL6" s="40">
        <f t="shared" ref="AL6:AL35" si="0">SUM(H6:AK6)</f>
        <v>126102.93000000001</v>
      </c>
      <c r="AM6" s="40">
        <f t="shared" ref="AM6:AM35" si="1">AVERAGE(H6:AK6)</f>
        <v>4348.3768965517247</v>
      </c>
      <c r="AN6" s="40">
        <f t="shared" ref="AN6:AN35" si="2">AL6*8.5%</f>
        <v>10718.749050000002</v>
      </c>
    </row>
    <row r="7" spans="1:45" ht="21" x14ac:dyDescent="0.35">
      <c r="A7" s="26" t="s">
        <v>174</v>
      </c>
      <c r="B7" s="27" t="s">
        <v>175</v>
      </c>
      <c r="C7" s="28" t="s">
        <v>176</v>
      </c>
      <c r="D7" s="29" t="s">
        <v>41</v>
      </c>
      <c r="E7" s="29" t="s">
        <v>42</v>
      </c>
      <c r="F7" s="29" t="s">
        <v>43</v>
      </c>
      <c r="G7" s="29" t="s">
        <v>31</v>
      </c>
      <c r="H7" s="47">
        <v>6694.31</v>
      </c>
      <c r="I7" s="47">
        <v>0</v>
      </c>
      <c r="J7" s="47">
        <v>6854.28</v>
      </c>
      <c r="K7" s="47">
        <v>6694.31</v>
      </c>
      <c r="L7" s="47">
        <v>0</v>
      </c>
      <c r="M7" s="47">
        <v>6726.87</v>
      </c>
      <c r="N7" s="47">
        <v>0</v>
      </c>
      <c r="O7" s="47">
        <v>0</v>
      </c>
      <c r="P7" s="47">
        <v>0</v>
      </c>
      <c r="Q7" s="47">
        <v>6694.31</v>
      </c>
      <c r="R7" s="47">
        <v>6854.28</v>
      </c>
      <c r="S7" s="47">
        <v>0</v>
      </c>
      <c r="T7" s="47">
        <v>6694.31</v>
      </c>
      <c r="U7" s="47">
        <v>0</v>
      </c>
      <c r="V7" s="47">
        <v>0</v>
      </c>
      <c r="W7" s="47">
        <v>6726.87</v>
      </c>
      <c r="X7" s="47">
        <v>0</v>
      </c>
      <c r="Y7" s="47">
        <v>0</v>
      </c>
      <c r="Z7" s="47">
        <v>6694.31</v>
      </c>
      <c r="AA7" s="47">
        <v>0</v>
      </c>
      <c r="AB7" s="47">
        <v>0</v>
      </c>
      <c r="AC7" s="47">
        <v>0</v>
      </c>
      <c r="AD7" s="47">
        <v>0</v>
      </c>
      <c r="AE7" s="47">
        <v>44924.52</v>
      </c>
      <c r="AF7" s="47">
        <v>0</v>
      </c>
      <c r="AG7" s="47">
        <v>0</v>
      </c>
      <c r="AH7" s="47">
        <v>0</v>
      </c>
      <c r="AI7" s="47">
        <v>0</v>
      </c>
      <c r="AJ7" s="47">
        <v>0</v>
      </c>
      <c r="AK7" s="47">
        <v>18759.87</v>
      </c>
      <c r="AL7" s="40">
        <f t="shared" si="0"/>
        <v>124318.23999999999</v>
      </c>
      <c r="AM7" s="40">
        <f t="shared" si="1"/>
        <v>4143.9413333333332</v>
      </c>
      <c r="AN7" s="40">
        <f t="shared" si="2"/>
        <v>10567.0504</v>
      </c>
    </row>
    <row r="8" spans="1:45" ht="21" x14ac:dyDescent="0.35">
      <c r="A8" s="26" t="s">
        <v>162</v>
      </c>
      <c r="B8" s="27" t="s">
        <v>163</v>
      </c>
      <c r="C8" s="28" t="s">
        <v>164</v>
      </c>
      <c r="D8" s="27" t="s">
        <v>47</v>
      </c>
      <c r="E8" s="27" t="s">
        <v>48</v>
      </c>
      <c r="F8" s="27" t="s">
        <v>49</v>
      </c>
      <c r="G8" s="27" t="s">
        <v>31</v>
      </c>
      <c r="H8" s="47"/>
      <c r="I8" s="47">
        <v>0</v>
      </c>
      <c r="J8" s="47">
        <v>0</v>
      </c>
      <c r="K8" s="47">
        <v>0</v>
      </c>
      <c r="L8" s="47">
        <v>0</v>
      </c>
      <c r="M8" s="47">
        <v>12009.03</v>
      </c>
      <c r="N8" s="47">
        <v>0</v>
      </c>
      <c r="O8" s="47">
        <v>0</v>
      </c>
      <c r="P8" s="47">
        <v>0</v>
      </c>
      <c r="Q8" s="47">
        <v>31548.9</v>
      </c>
      <c r="R8" s="47">
        <v>0</v>
      </c>
      <c r="S8" s="47">
        <v>0</v>
      </c>
      <c r="T8" s="47">
        <v>0</v>
      </c>
      <c r="U8" s="47">
        <v>0</v>
      </c>
      <c r="V8" s="47">
        <v>0</v>
      </c>
      <c r="W8" s="47">
        <v>13503.6</v>
      </c>
      <c r="X8" s="47">
        <v>0</v>
      </c>
      <c r="Y8" s="47">
        <v>0</v>
      </c>
      <c r="Z8" s="47">
        <v>31265.65</v>
      </c>
      <c r="AA8" s="47">
        <v>0</v>
      </c>
      <c r="AB8" s="47">
        <v>0</v>
      </c>
      <c r="AC8" s="47">
        <v>0</v>
      </c>
      <c r="AD8" s="47">
        <v>0</v>
      </c>
      <c r="AE8" s="47">
        <v>0</v>
      </c>
      <c r="AF8" s="47">
        <v>0</v>
      </c>
      <c r="AG8" s="47">
        <v>12279</v>
      </c>
      <c r="AH8" s="47">
        <v>0</v>
      </c>
      <c r="AI8" s="47">
        <v>0</v>
      </c>
      <c r="AJ8" s="47">
        <v>0</v>
      </c>
      <c r="AK8" s="47">
        <v>34076.629999999997</v>
      </c>
      <c r="AL8" s="40">
        <f t="shared" si="0"/>
        <v>134682.81</v>
      </c>
      <c r="AM8" s="40">
        <f t="shared" si="1"/>
        <v>4644.2348275862068</v>
      </c>
      <c r="AN8" s="40">
        <f t="shared" si="2"/>
        <v>11448.038850000001</v>
      </c>
    </row>
    <row r="9" spans="1:45" ht="21" x14ac:dyDescent="0.35">
      <c r="A9" s="26" t="s">
        <v>139</v>
      </c>
      <c r="B9" s="27" t="s">
        <v>140</v>
      </c>
      <c r="C9" s="28" t="s">
        <v>141</v>
      </c>
      <c r="D9" s="27" t="s">
        <v>53</v>
      </c>
      <c r="E9" s="27" t="s">
        <v>54</v>
      </c>
      <c r="F9" s="29" t="s">
        <v>55</v>
      </c>
      <c r="G9" s="29" t="s">
        <v>31</v>
      </c>
      <c r="H9" s="47"/>
      <c r="I9" s="47">
        <v>0</v>
      </c>
      <c r="J9" s="47">
        <v>0</v>
      </c>
      <c r="K9" s="47">
        <v>0</v>
      </c>
      <c r="L9" s="47">
        <v>0</v>
      </c>
      <c r="M9" s="47">
        <v>0</v>
      </c>
      <c r="N9" s="47">
        <v>0</v>
      </c>
      <c r="O9" s="47">
        <v>15000</v>
      </c>
      <c r="P9" s="47">
        <v>0</v>
      </c>
      <c r="Q9" s="47">
        <v>0</v>
      </c>
      <c r="R9" s="47">
        <v>0</v>
      </c>
      <c r="S9" s="47">
        <v>0</v>
      </c>
      <c r="T9" s="47">
        <v>32645.55</v>
      </c>
      <c r="U9" s="47">
        <v>0</v>
      </c>
      <c r="V9" s="47">
        <v>0</v>
      </c>
      <c r="W9" s="47">
        <v>0</v>
      </c>
      <c r="X9" s="47">
        <v>0</v>
      </c>
      <c r="Y9" s="53">
        <v>0</v>
      </c>
      <c r="Z9" s="53">
        <v>0</v>
      </c>
      <c r="AA9" s="47">
        <v>0</v>
      </c>
      <c r="AB9" s="47">
        <v>0</v>
      </c>
      <c r="AC9" s="47">
        <v>18759.87</v>
      </c>
      <c r="AD9" s="47">
        <v>0</v>
      </c>
      <c r="AE9" s="47">
        <v>0</v>
      </c>
      <c r="AF9" s="47">
        <v>0</v>
      </c>
      <c r="AG9" s="47">
        <v>0</v>
      </c>
      <c r="AH9" s="47">
        <v>0</v>
      </c>
      <c r="AI9" s="47">
        <v>0</v>
      </c>
      <c r="AJ9" s="47">
        <v>0</v>
      </c>
      <c r="AK9" s="47">
        <v>0</v>
      </c>
      <c r="AL9" s="40">
        <f t="shared" si="0"/>
        <v>66405.42</v>
      </c>
      <c r="AM9" s="40">
        <f t="shared" si="1"/>
        <v>2289.8420689655172</v>
      </c>
      <c r="AN9" s="40">
        <f t="shared" si="2"/>
        <v>5644.4607000000005</v>
      </c>
    </row>
    <row r="10" spans="1:45" ht="21" x14ac:dyDescent="0.35">
      <c r="A10" s="27" t="s">
        <v>62</v>
      </c>
      <c r="B10" s="27" t="s">
        <v>63</v>
      </c>
      <c r="C10" s="28" t="s">
        <v>64</v>
      </c>
      <c r="D10" s="29" t="s">
        <v>59</v>
      </c>
      <c r="E10" s="29" t="s">
        <v>60</v>
      </c>
      <c r="F10" s="29" t="s">
        <v>61</v>
      </c>
      <c r="G10" s="29" t="s">
        <v>31</v>
      </c>
      <c r="H10" s="47"/>
      <c r="I10" s="47">
        <v>0</v>
      </c>
      <c r="J10" s="47">
        <v>0</v>
      </c>
      <c r="K10" s="47">
        <v>0</v>
      </c>
      <c r="L10" s="47">
        <v>0</v>
      </c>
      <c r="M10" s="47">
        <v>0</v>
      </c>
      <c r="N10" s="47">
        <v>0</v>
      </c>
      <c r="O10" s="47">
        <v>0</v>
      </c>
      <c r="P10" s="47">
        <v>0</v>
      </c>
      <c r="Q10" s="47">
        <v>29634</v>
      </c>
      <c r="R10" s="47">
        <v>0</v>
      </c>
      <c r="S10" s="47">
        <v>0</v>
      </c>
      <c r="T10" s="47">
        <v>0</v>
      </c>
      <c r="U10" s="47">
        <v>0</v>
      </c>
      <c r="V10" s="47">
        <v>0</v>
      </c>
      <c r="W10" s="47">
        <v>0</v>
      </c>
      <c r="X10" s="47">
        <v>0</v>
      </c>
      <c r="Y10" s="47">
        <v>0</v>
      </c>
      <c r="Z10" s="47">
        <v>24000</v>
      </c>
      <c r="AA10" s="47">
        <v>0</v>
      </c>
      <c r="AB10" s="47">
        <v>0</v>
      </c>
      <c r="AC10" s="47">
        <v>0</v>
      </c>
      <c r="AD10" s="47">
        <v>0</v>
      </c>
      <c r="AE10" s="47">
        <v>0</v>
      </c>
      <c r="AF10" s="47">
        <v>0</v>
      </c>
      <c r="AG10" s="52">
        <v>0</v>
      </c>
      <c r="AH10" s="47">
        <v>0</v>
      </c>
      <c r="AI10" s="47">
        <v>0</v>
      </c>
      <c r="AJ10" s="47">
        <v>0</v>
      </c>
      <c r="AK10" s="47">
        <v>0</v>
      </c>
      <c r="AL10" s="40">
        <f t="shared" si="0"/>
        <v>53634</v>
      </c>
      <c r="AM10" s="40">
        <f t="shared" si="1"/>
        <v>1849.4482758620691</v>
      </c>
      <c r="AN10" s="40">
        <f t="shared" si="2"/>
        <v>4558.8900000000003</v>
      </c>
    </row>
    <row r="11" spans="1:45" ht="21" x14ac:dyDescent="0.35">
      <c r="A11" s="26" t="s">
        <v>86</v>
      </c>
      <c r="B11" s="27" t="s">
        <v>87</v>
      </c>
      <c r="C11" s="28" t="s">
        <v>88</v>
      </c>
      <c r="D11" s="27" t="s">
        <v>65</v>
      </c>
      <c r="E11" s="27" t="s">
        <v>66</v>
      </c>
      <c r="F11" s="27" t="s">
        <v>67</v>
      </c>
      <c r="G11" s="27" t="s">
        <v>31</v>
      </c>
      <c r="H11" s="47"/>
      <c r="I11" s="47">
        <v>24000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31142.05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23900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6059.05</v>
      </c>
      <c r="AF11" s="47">
        <v>0</v>
      </c>
      <c r="AG11" s="52">
        <v>0</v>
      </c>
      <c r="AH11" s="47">
        <v>0</v>
      </c>
      <c r="AI11" s="47">
        <v>0</v>
      </c>
      <c r="AJ11" s="47">
        <v>31296.55</v>
      </c>
      <c r="AK11" s="47">
        <v>0</v>
      </c>
      <c r="AL11" s="40">
        <f t="shared" si="0"/>
        <v>116397.65000000001</v>
      </c>
      <c r="AM11" s="40">
        <f t="shared" si="1"/>
        <v>4013.7120689655176</v>
      </c>
      <c r="AN11" s="40">
        <f t="shared" si="2"/>
        <v>9893.8002500000021</v>
      </c>
    </row>
    <row r="12" spans="1:45" ht="21" x14ac:dyDescent="0.35">
      <c r="A12" s="26" t="s">
        <v>203</v>
      </c>
      <c r="B12" s="27" t="s">
        <v>204</v>
      </c>
      <c r="C12" s="31" t="s">
        <v>146</v>
      </c>
      <c r="D12" s="29" t="s">
        <v>71</v>
      </c>
      <c r="E12" s="29" t="s">
        <v>72</v>
      </c>
      <c r="F12" s="27" t="s">
        <v>73</v>
      </c>
      <c r="G12" s="27" t="s">
        <v>31</v>
      </c>
      <c r="H12" s="47">
        <v>6694.31</v>
      </c>
      <c r="I12" s="47">
        <v>6694.31</v>
      </c>
      <c r="J12" s="47">
        <v>6854.28</v>
      </c>
      <c r="K12" s="47">
        <v>6694.31</v>
      </c>
      <c r="L12" s="47">
        <v>6726.87</v>
      </c>
      <c r="M12" s="47">
        <v>0</v>
      </c>
      <c r="N12" s="47">
        <v>0</v>
      </c>
      <c r="O12" s="47">
        <v>0</v>
      </c>
      <c r="P12" s="47">
        <v>6694.31</v>
      </c>
      <c r="Q12" s="47">
        <v>6854.28</v>
      </c>
      <c r="R12" s="47">
        <v>6694.31</v>
      </c>
      <c r="S12" s="47">
        <v>6854.28</v>
      </c>
      <c r="T12" s="47">
        <v>0</v>
      </c>
      <c r="U12" s="47">
        <v>0</v>
      </c>
      <c r="V12" s="47">
        <v>6694.31</v>
      </c>
      <c r="W12" s="47">
        <v>0</v>
      </c>
      <c r="X12" s="47">
        <v>0</v>
      </c>
      <c r="Y12" s="47">
        <v>0</v>
      </c>
      <c r="Z12" s="47">
        <v>0</v>
      </c>
      <c r="AA12" s="47">
        <v>6726.87</v>
      </c>
      <c r="AB12" s="47">
        <v>0</v>
      </c>
      <c r="AC12" s="47">
        <v>0</v>
      </c>
      <c r="AD12" s="47">
        <v>6694.31</v>
      </c>
      <c r="AE12" s="47">
        <v>0</v>
      </c>
      <c r="AF12" s="47">
        <v>6726.87</v>
      </c>
      <c r="AG12" s="47">
        <v>0</v>
      </c>
      <c r="AH12" s="47">
        <v>6694.31</v>
      </c>
      <c r="AI12" s="47">
        <v>0</v>
      </c>
      <c r="AJ12" s="47">
        <v>6726.87</v>
      </c>
      <c r="AK12" s="47">
        <v>0</v>
      </c>
      <c r="AL12" s="40">
        <f t="shared" si="0"/>
        <v>101024.79999999997</v>
      </c>
      <c r="AM12" s="40">
        <f t="shared" si="1"/>
        <v>3367.4933333333324</v>
      </c>
      <c r="AN12" s="40">
        <f t="shared" si="2"/>
        <v>8587.1079999999984</v>
      </c>
    </row>
    <row r="13" spans="1:45" ht="21" x14ac:dyDescent="0.35">
      <c r="A13" s="26" t="s">
        <v>44</v>
      </c>
      <c r="B13" s="27" t="s">
        <v>45</v>
      </c>
      <c r="C13" s="28" t="s">
        <v>46</v>
      </c>
      <c r="D13" s="29" t="s">
        <v>77</v>
      </c>
      <c r="E13" s="29" t="s">
        <v>78</v>
      </c>
      <c r="F13" s="27" t="s">
        <v>79</v>
      </c>
      <c r="G13" s="27" t="s">
        <v>31</v>
      </c>
      <c r="H13" s="47"/>
      <c r="I13" s="47">
        <v>31075.1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24600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22000</v>
      </c>
      <c r="Y13" s="47">
        <v>0</v>
      </c>
      <c r="Z13" s="47">
        <v>0</v>
      </c>
      <c r="AA13" s="47">
        <v>15624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24000</v>
      </c>
      <c r="AH13" s="47">
        <v>0</v>
      </c>
      <c r="AI13" s="47">
        <v>0</v>
      </c>
      <c r="AJ13" s="47">
        <v>0</v>
      </c>
      <c r="AK13" s="47">
        <v>0</v>
      </c>
      <c r="AL13" s="40">
        <f t="shared" si="0"/>
        <v>117299.1</v>
      </c>
      <c r="AM13" s="40">
        <f t="shared" si="1"/>
        <v>4044.7965517241382</v>
      </c>
      <c r="AN13" s="40">
        <f t="shared" si="2"/>
        <v>9970.4235000000008</v>
      </c>
    </row>
    <row r="14" spans="1:45" ht="21" x14ac:dyDescent="0.35">
      <c r="A14" s="26" t="s">
        <v>25</v>
      </c>
      <c r="B14" s="27" t="s">
        <v>26</v>
      </c>
      <c r="C14" s="28" t="s">
        <v>27</v>
      </c>
      <c r="D14" s="29" t="s">
        <v>83</v>
      </c>
      <c r="E14" s="29" t="s">
        <v>84</v>
      </c>
      <c r="F14" s="29" t="s">
        <v>85</v>
      </c>
      <c r="G14" s="27" t="s">
        <v>31</v>
      </c>
      <c r="H14" s="47"/>
      <c r="I14" s="47">
        <v>0</v>
      </c>
      <c r="J14" s="47">
        <v>0</v>
      </c>
      <c r="K14" s="47">
        <v>24600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29088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/>
      <c r="Z14" s="47">
        <v>0</v>
      </c>
      <c r="AA14" s="47">
        <v>24600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31286.25</v>
      </c>
      <c r="AH14" s="47">
        <v>0</v>
      </c>
      <c r="AI14" s="47">
        <v>0</v>
      </c>
      <c r="AJ14" s="47">
        <v>0</v>
      </c>
      <c r="AK14" s="47">
        <v>0</v>
      </c>
      <c r="AL14" s="40">
        <f t="shared" si="0"/>
        <v>109574.25</v>
      </c>
      <c r="AM14" s="40">
        <f t="shared" si="1"/>
        <v>3913.3660714285716</v>
      </c>
      <c r="AN14" s="40">
        <f t="shared" si="2"/>
        <v>9313.8112500000007</v>
      </c>
    </row>
    <row r="15" spans="1:45" ht="21" x14ac:dyDescent="0.35">
      <c r="A15" s="26" t="s">
        <v>193</v>
      </c>
      <c r="B15" s="27" t="s">
        <v>194</v>
      </c>
      <c r="C15" s="28" t="s">
        <v>195</v>
      </c>
      <c r="D15" s="29" t="s">
        <v>89</v>
      </c>
      <c r="E15" s="27" t="s">
        <v>90</v>
      </c>
      <c r="F15" s="27" t="s">
        <v>91</v>
      </c>
      <c r="G15" s="27" t="s">
        <v>31</v>
      </c>
      <c r="H15" s="48"/>
      <c r="I15" s="48">
        <v>0</v>
      </c>
      <c r="J15" s="47">
        <v>3300</v>
      </c>
      <c r="K15" s="47">
        <v>0</v>
      </c>
      <c r="L15" s="51">
        <v>0</v>
      </c>
      <c r="M15" s="51">
        <v>0</v>
      </c>
      <c r="N15" s="51">
        <v>0</v>
      </c>
      <c r="O15" s="47">
        <v>2310</v>
      </c>
      <c r="P15" s="47">
        <v>0</v>
      </c>
      <c r="Q15" s="47">
        <v>4796.17</v>
      </c>
      <c r="R15" s="47">
        <v>4881.58</v>
      </c>
      <c r="S15" s="47">
        <v>0</v>
      </c>
      <c r="T15" s="47">
        <v>0</v>
      </c>
      <c r="U15" s="47">
        <v>0</v>
      </c>
      <c r="V15" s="47">
        <v>0</v>
      </c>
      <c r="W15" s="47">
        <v>4796.17</v>
      </c>
      <c r="X15" s="47">
        <v>0</v>
      </c>
      <c r="Y15" s="47">
        <v>4817.88</v>
      </c>
      <c r="Z15" s="47">
        <v>0</v>
      </c>
      <c r="AA15" s="47">
        <v>0</v>
      </c>
      <c r="AB15" s="47">
        <v>0</v>
      </c>
      <c r="AC15" s="47">
        <v>4796.17</v>
      </c>
      <c r="AD15" s="47">
        <v>0</v>
      </c>
      <c r="AE15" s="47">
        <v>4881.58</v>
      </c>
      <c r="AF15" s="47">
        <v>4796.17</v>
      </c>
      <c r="AG15" s="47">
        <v>0</v>
      </c>
      <c r="AH15" s="47">
        <v>4817.88</v>
      </c>
      <c r="AI15" s="47">
        <v>0</v>
      </c>
      <c r="AJ15" s="47">
        <v>4796.17</v>
      </c>
      <c r="AK15" s="47">
        <v>0</v>
      </c>
      <c r="AL15" s="40">
        <f t="shared" si="0"/>
        <v>48989.77</v>
      </c>
      <c r="AM15" s="40">
        <f t="shared" si="1"/>
        <v>1689.3024137931034</v>
      </c>
      <c r="AN15" s="40">
        <f t="shared" si="2"/>
        <v>4164.1304499999997</v>
      </c>
    </row>
    <row r="16" spans="1:45" ht="21" x14ac:dyDescent="0.35">
      <c r="A16" s="30" t="s">
        <v>98</v>
      </c>
      <c r="B16" s="29" t="s">
        <v>99</v>
      </c>
      <c r="C16" s="28" t="s">
        <v>100</v>
      </c>
      <c r="D16" s="29" t="s">
        <v>95</v>
      </c>
      <c r="E16" s="29" t="s">
        <v>96</v>
      </c>
      <c r="F16" s="27" t="s">
        <v>97</v>
      </c>
      <c r="G16" s="32" t="s">
        <v>31</v>
      </c>
      <c r="H16" s="47"/>
      <c r="I16" s="47">
        <v>6726.87</v>
      </c>
      <c r="J16" s="47">
        <v>0</v>
      </c>
      <c r="K16" s="47">
        <v>6694.31</v>
      </c>
      <c r="L16" s="47">
        <v>6854.28</v>
      </c>
      <c r="M16" s="47">
        <v>0</v>
      </c>
      <c r="N16" s="47">
        <v>0</v>
      </c>
      <c r="O16" s="47">
        <v>6694.31</v>
      </c>
      <c r="P16" s="47">
        <v>0</v>
      </c>
      <c r="Q16" s="47">
        <v>6854.28</v>
      </c>
      <c r="R16" s="47">
        <v>6694.31</v>
      </c>
      <c r="S16" s="47">
        <v>0</v>
      </c>
      <c r="T16" s="47">
        <v>6726.87</v>
      </c>
      <c r="U16" s="47">
        <v>0</v>
      </c>
      <c r="V16" s="47">
        <v>0</v>
      </c>
      <c r="W16" s="47">
        <v>0</v>
      </c>
      <c r="X16" s="47">
        <v>6694.31</v>
      </c>
      <c r="Y16" s="47">
        <v>0</v>
      </c>
      <c r="Z16" s="47">
        <v>0</v>
      </c>
      <c r="AA16" s="47">
        <v>0</v>
      </c>
      <c r="AB16" s="47">
        <v>0</v>
      </c>
      <c r="AC16" s="47">
        <v>22000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16000</v>
      </c>
      <c r="AJ16" s="47">
        <v>0</v>
      </c>
      <c r="AK16" s="47">
        <v>0</v>
      </c>
      <c r="AL16" s="40">
        <f t="shared" si="0"/>
        <v>91939.540000000008</v>
      </c>
      <c r="AM16" s="40">
        <f t="shared" si="1"/>
        <v>3170.3289655172416</v>
      </c>
      <c r="AN16" s="40">
        <f t="shared" si="2"/>
        <v>7814.8609000000015</v>
      </c>
    </row>
    <row r="17" spans="1:40" ht="21" x14ac:dyDescent="0.35">
      <c r="A17" s="26" t="s">
        <v>156</v>
      </c>
      <c r="B17" s="27" t="s">
        <v>157</v>
      </c>
      <c r="C17" s="28" t="s">
        <v>158</v>
      </c>
      <c r="D17" s="27" t="s">
        <v>101</v>
      </c>
      <c r="E17" s="27" t="s">
        <v>102</v>
      </c>
      <c r="F17" s="27" t="s">
        <v>103</v>
      </c>
      <c r="G17" s="29" t="s">
        <v>104</v>
      </c>
      <c r="H17" s="47"/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51">
        <v>0</v>
      </c>
      <c r="R17" s="51">
        <v>0</v>
      </c>
      <c r="S17" s="51">
        <v>0</v>
      </c>
      <c r="T17" s="47">
        <v>16110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31646.75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13165.03</v>
      </c>
      <c r="AI17" s="47">
        <v>0</v>
      </c>
      <c r="AJ17" s="47">
        <v>0</v>
      </c>
      <c r="AK17" s="47">
        <v>37853.050000000003</v>
      </c>
      <c r="AL17" s="40">
        <f t="shared" si="0"/>
        <v>98774.83</v>
      </c>
      <c r="AM17" s="40">
        <f t="shared" si="1"/>
        <v>3406.0286206896553</v>
      </c>
      <c r="AN17" s="40">
        <f t="shared" si="2"/>
        <v>8395.8605500000012</v>
      </c>
    </row>
    <row r="18" spans="1:40" ht="21" x14ac:dyDescent="0.35">
      <c r="A18" s="37" t="s">
        <v>56</v>
      </c>
      <c r="B18" s="27" t="s">
        <v>57</v>
      </c>
      <c r="C18" s="31" t="s">
        <v>58</v>
      </c>
      <c r="D18" s="29" t="s">
        <v>108</v>
      </c>
      <c r="E18" s="29" t="s">
        <v>109</v>
      </c>
      <c r="F18" s="29" t="s">
        <v>110</v>
      </c>
      <c r="G18" s="29" t="s">
        <v>104</v>
      </c>
      <c r="H18" s="47"/>
      <c r="I18" s="47">
        <v>0</v>
      </c>
      <c r="J18" s="47">
        <v>0</v>
      </c>
      <c r="K18" s="47">
        <v>0</v>
      </c>
      <c r="L18" s="47">
        <v>36100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28078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26300</v>
      </c>
      <c r="AG18" s="47">
        <v>0</v>
      </c>
      <c r="AH18" s="47">
        <v>0</v>
      </c>
      <c r="AI18" s="47">
        <v>0</v>
      </c>
      <c r="AJ18" s="47">
        <v>0</v>
      </c>
      <c r="AK18" s="47">
        <v>43517.52</v>
      </c>
      <c r="AL18" s="40">
        <f t="shared" si="0"/>
        <v>133995.51999999999</v>
      </c>
      <c r="AM18" s="40">
        <f t="shared" si="1"/>
        <v>4620.5351724137927</v>
      </c>
      <c r="AN18" s="40">
        <f t="shared" si="2"/>
        <v>11389.619199999999</v>
      </c>
    </row>
    <row r="19" spans="1:40" ht="21" x14ac:dyDescent="0.35">
      <c r="A19" s="26" t="s">
        <v>74</v>
      </c>
      <c r="B19" s="27" t="s">
        <v>75</v>
      </c>
      <c r="C19" s="28" t="s">
        <v>76</v>
      </c>
      <c r="D19" s="27" t="s">
        <v>112</v>
      </c>
      <c r="E19" s="27" t="s">
        <v>113</v>
      </c>
      <c r="F19" s="27" t="s">
        <v>114</v>
      </c>
      <c r="G19" s="27" t="s">
        <v>104</v>
      </c>
      <c r="H19" s="47"/>
      <c r="I19" s="47">
        <v>0</v>
      </c>
      <c r="J19" s="47">
        <v>5759.89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19841.98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24000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31430.45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0">
        <f t="shared" si="0"/>
        <v>81032.319999999992</v>
      </c>
      <c r="AM19" s="40">
        <f t="shared" si="1"/>
        <v>2794.2179310344827</v>
      </c>
      <c r="AN19" s="40">
        <f t="shared" si="2"/>
        <v>6887.7471999999998</v>
      </c>
    </row>
    <row r="20" spans="1:40" ht="21" x14ac:dyDescent="0.35">
      <c r="A20" s="26" t="s">
        <v>127</v>
      </c>
      <c r="B20" s="27" t="s">
        <v>128</v>
      </c>
      <c r="C20" s="28" t="s">
        <v>129</v>
      </c>
      <c r="D20" s="27" t="s">
        <v>118</v>
      </c>
      <c r="E20" s="27" t="s">
        <v>119</v>
      </c>
      <c r="F20" s="27" t="s">
        <v>120</v>
      </c>
      <c r="G20" s="27" t="s">
        <v>104</v>
      </c>
      <c r="H20" s="47">
        <v>5621.68</v>
      </c>
      <c r="I20" s="47">
        <v>0</v>
      </c>
      <c r="J20" s="47">
        <v>31152.35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12744.05</v>
      </c>
      <c r="R20" s="47">
        <v>0</v>
      </c>
      <c r="S20" s="47">
        <v>0</v>
      </c>
      <c r="T20" s="47">
        <v>32960</v>
      </c>
      <c r="U20" s="47">
        <v>0</v>
      </c>
      <c r="V20" s="47">
        <v>0</v>
      </c>
      <c r="W20" s="47">
        <v>0</v>
      </c>
      <c r="X20" s="47">
        <v>0</v>
      </c>
      <c r="Y20" s="47">
        <v>32655.09</v>
      </c>
      <c r="Z20" s="47">
        <v>0</v>
      </c>
      <c r="AA20" s="47">
        <v>0</v>
      </c>
      <c r="AB20" s="47">
        <v>0</v>
      </c>
      <c r="AC20" s="47">
        <v>6726.87</v>
      </c>
      <c r="AD20" s="47">
        <v>0</v>
      </c>
      <c r="AE20" s="47">
        <v>6694.31</v>
      </c>
      <c r="AF20" s="47">
        <v>0</v>
      </c>
      <c r="AG20" s="47">
        <v>44921.52</v>
      </c>
      <c r="AH20" s="47">
        <v>0</v>
      </c>
      <c r="AI20" s="47">
        <v>0</v>
      </c>
      <c r="AJ20" s="47">
        <v>0</v>
      </c>
      <c r="AK20" s="47">
        <v>0</v>
      </c>
      <c r="AL20" s="40">
        <f t="shared" si="0"/>
        <v>173475.87</v>
      </c>
      <c r="AM20" s="40">
        <f t="shared" si="1"/>
        <v>5782.5289999999995</v>
      </c>
      <c r="AN20" s="40">
        <f t="shared" si="2"/>
        <v>14745.44895</v>
      </c>
    </row>
    <row r="21" spans="1:40" ht="21" x14ac:dyDescent="0.35">
      <c r="A21" s="26" t="s">
        <v>105</v>
      </c>
      <c r="B21" s="27" t="s">
        <v>106</v>
      </c>
      <c r="C21" s="28" t="s">
        <v>107</v>
      </c>
      <c r="D21" s="27" t="s">
        <v>124</v>
      </c>
      <c r="E21" s="27" t="s">
        <v>125</v>
      </c>
      <c r="F21" s="27" t="s">
        <v>126</v>
      </c>
      <c r="G21" s="27" t="s">
        <v>104</v>
      </c>
      <c r="H21" s="47"/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15000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16000</v>
      </c>
      <c r="Y21" s="47">
        <v>0</v>
      </c>
      <c r="Z21" s="47">
        <v>0</v>
      </c>
      <c r="AA21" s="47">
        <v>0</v>
      </c>
      <c r="AB21" s="47">
        <v>0</v>
      </c>
      <c r="AC21" s="47">
        <v>16000</v>
      </c>
      <c r="AD21" s="47">
        <v>0</v>
      </c>
      <c r="AE21" s="47">
        <v>12000</v>
      </c>
      <c r="AF21" s="47">
        <v>0</v>
      </c>
      <c r="AG21" s="47">
        <v>0</v>
      </c>
      <c r="AH21" s="47">
        <v>0</v>
      </c>
      <c r="AI21" s="47">
        <v>0</v>
      </c>
      <c r="AJ21" s="47">
        <v>20000</v>
      </c>
      <c r="AK21" s="47">
        <v>0</v>
      </c>
      <c r="AL21" s="40">
        <f t="shared" si="0"/>
        <v>79000</v>
      </c>
      <c r="AM21" s="40">
        <f t="shared" si="1"/>
        <v>2724.1379310344828</v>
      </c>
      <c r="AN21" s="40">
        <f t="shared" si="2"/>
        <v>6715.0000000000009</v>
      </c>
    </row>
    <row r="22" spans="1:40" ht="21" x14ac:dyDescent="0.35">
      <c r="A22" s="26" t="s">
        <v>115</v>
      </c>
      <c r="B22" s="27" t="s">
        <v>116</v>
      </c>
      <c r="C22" s="28" t="s">
        <v>117</v>
      </c>
      <c r="D22" s="27" t="s">
        <v>130</v>
      </c>
      <c r="E22" s="27" t="s">
        <v>131</v>
      </c>
      <c r="F22" s="27" t="s">
        <v>132</v>
      </c>
      <c r="G22" s="27" t="s">
        <v>104</v>
      </c>
      <c r="H22" s="47"/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51">
        <v>0</v>
      </c>
      <c r="Q22" s="51">
        <v>0</v>
      </c>
      <c r="R22" s="47">
        <v>0</v>
      </c>
      <c r="S22" s="47">
        <v>0</v>
      </c>
      <c r="T22" s="47">
        <v>14592</v>
      </c>
      <c r="U22" s="47">
        <v>0</v>
      </c>
      <c r="V22" s="47">
        <v>0</v>
      </c>
      <c r="W22" s="47">
        <v>0</v>
      </c>
      <c r="X22" s="47">
        <v>0</v>
      </c>
      <c r="Y22" s="53">
        <v>0</v>
      </c>
      <c r="Z22" s="47">
        <v>0</v>
      </c>
      <c r="AA22" s="47">
        <v>0</v>
      </c>
      <c r="AB22" s="47">
        <v>16000</v>
      </c>
      <c r="AC22" s="47">
        <v>0</v>
      </c>
      <c r="AD22" s="47">
        <v>0</v>
      </c>
      <c r="AE22" s="47">
        <v>0</v>
      </c>
      <c r="AF22" s="47">
        <v>0</v>
      </c>
      <c r="AG22" s="47">
        <v>16000</v>
      </c>
      <c r="AH22" s="47">
        <v>0</v>
      </c>
      <c r="AI22" s="47">
        <v>0</v>
      </c>
      <c r="AJ22" s="47">
        <v>16000</v>
      </c>
      <c r="AK22" s="47">
        <v>0</v>
      </c>
      <c r="AL22" s="40">
        <f t="shared" si="0"/>
        <v>62592</v>
      </c>
      <c r="AM22" s="40">
        <f t="shared" si="1"/>
        <v>2158.344827586207</v>
      </c>
      <c r="AN22" s="40">
        <f t="shared" si="2"/>
        <v>5320.3200000000006</v>
      </c>
    </row>
    <row r="23" spans="1:40" ht="21" x14ac:dyDescent="0.35">
      <c r="A23" s="26" t="s">
        <v>80</v>
      </c>
      <c r="B23" s="27" t="s">
        <v>81</v>
      </c>
      <c r="C23" s="28" t="s">
        <v>82</v>
      </c>
      <c r="D23" s="27" t="s">
        <v>136</v>
      </c>
      <c r="E23" s="27" t="s">
        <v>137</v>
      </c>
      <c r="F23" s="29" t="s">
        <v>138</v>
      </c>
      <c r="G23" s="29" t="s">
        <v>104</v>
      </c>
      <c r="H23" s="47"/>
      <c r="I23" s="47">
        <v>0</v>
      </c>
      <c r="J23" s="47">
        <v>0</v>
      </c>
      <c r="K23" s="47">
        <v>0</v>
      </c>
      <c r="L23" s="47"/>
      <c r="M23" s="47">
        <v>23937.56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36100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21842.2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0">
        <f t="shared" si="0"/>
        <v>81879.759999999995</v>
      </c>
      <c r="AM23" s="40">
        <f t="shared" si="1"/>
        <v>2924.2771428571427</v>
      </c>
      <c r="AN23" s="40">
        <f t="shared" si="2"/>
        <v>6959.7795999999998</v>
      </c>
    </row>
    <row r="24" spans="1:40" ht="21" x14ac:dyDescent="0.35">
      <c r="A24" s="26" t="s">
        <v>121</v>
      </c>
      <c r="B24" s="27" t="s">
        <v>122</v>
      </c>
      <c r="C24" s="28" t="s">
        <v>123</v>
      </c>
      <c r="D24" s="27" t="s">
        <v>142</v>
      </c>
      <c r="E24" s="27" t="s">
        <v>143</v>
      </c>
      <c r="F24" s="27" t="s">
        <v>144</v>
      </c>
      <c r="G24" s="27" t="s">
        <v>104</v>
      </c>
      <c r="H24" s="47">
        <v>5199.33</v>
      </c>
      <c r="I24" s="47">
        <v>0</v>
      </c>
      <c r="J24" s="47">
        <v>6694.31</v>
      </c>
      <c r="K24" s="47">
        <v>6854.28</v>
      </c>
      <c r="L24" s="47">
        <v>6694.31</v>
      </c>
      <c r="M24" s="47">
        <v>0</v>
      </c>
      <c r="N24" s="47">
        <v>0</v>
      </c>
      <c r="O24" s="47">
        <v>6854.28</v>
      </c>
      <c r="P24" s="47">
        <v>32960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15210</v>
      </c>
      <c r="Z24" s="47">
        <v>0</v>
      </c>
      <c r="AA24" s="47">
        <v>0</v>
      </c>
      <c r="AB24" s="47">
        <v>0</v>
      </c>
      <c r="AC24" s="47">
        <v>0</v>
      </c>
      <c r="AD24" s="47">
        <v>33000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0">
        <f t="shared" si="0"/>
        <v>113466.51</v>
      </c>
      <c r="AM24" s="40">
        <f t="shared" si="1"/>
        <v>3782.2169999999996</v>
      </c>
      <c r="AN24" s="40">
        <f t="shared" si="2"/>
        <v>9644.6533500000005</v>
      </c>
    </row>
    <row r="25" spans="1:40" ht="21" x14ac:dyDescent="0.35">
      <c r="A25" s="26" t="s">
        <v>198</v>
      </c>
      <c r="B25" s="27" t="s">
        <v>199</v>
      </c>
      <c r="C25" s="31" t="s">
        <v>200</v>
      </c>
      <c r="D25" s="29" t="s">
        <v>147</v>
      </c>
      <c r="E25" s="29" t="s">
        <v>148</v>
      </c>
      <c r="F25" s="27" t="s">
        <v>149</v>
      </c>
      <c r="G25" s="27" t="s">
        <v>104</v>
      </c>
      <c r="H25" s="47"/>
      <c r="I25" s="47">
        <v>0</v>
      </c>
      <c r="J25" s="47">
        <v>0</v>
      </c>
      <c r="K25" s="47">
        <v>0</v>
      </c>
      <c r="L25" s="47">
        <v>28404.11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13659.5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15000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21092.05</v>
      </c>
      <c r="AI25" s="47">
        <v>0</v>
      </c>
      <c r="AJ25" s="47">
        <v>0</v>
      </c>
      <c r="AK25" s="47">
        <v>0</v>
      </c>
      <c r="AL25" s="40">
        <f t="shared" si="0"/>
        <v>78155.66</v>
      </c>
      <c r="AM25" s="40">
        <f t="shared" si="1"/>
        <v>2695.0227586206897</v>
      </c>
      <c r="AN25" s="40">
        <f t="shared" si="2"/>
        <v>6643.2311000000009</v>
      </c>
    </row>
    <row r="26" spans="1:40" ht="21" x14ac:dyDescent="0.35">
      <c r="A26" s="26" t="s">
        <v>215</v>
      </c>
      <c r="B26" s="27" t="s">
        <v>145</v>
      </c>
      <c r="C26" s="28" t="s">
        <v>111</v>
      </c>
      <c r="D26" s="27" t="s">
        <v>153</v>
      </c>
      <c r="E26" s="27" t="s">
        <v>154</v>
      </c>
      <c r="F26" s="27" t="s">
        <v>155</v>
      </c>
      <c r="G26" s="27" t="s">
        <v>104</v>
      </c>
      <c r="H26" s="47"/>
      <c r="I26" s="47">
        <v>13391.21</v>
      </c>
      <c r="J26" s="47">
        <v>0</v>
      </c>
      <c r="K26" s="47">
        <v>0</v>
      </c>
      <c r="L26" s="47">
        <v>16000</v>
      </c>
      <c r="M26" s="47">
        <v>0</v>
      </c>
      <c r="N26" s="47">
        <v>0</v>
      </c>
      <c r="O26" s="47">
        <v>16000</v>
      </c>
      <c r="P26" s="47">
        <v>0</v>
      </c>
      <c r="Q26" s="47">
        <v>0</v>
      </c>
      <c r="R26" s="51">
        <v>0</v>
      </c>
      <c r="S26" s="47">
        <v>0</v>
      </c>
      <c r="T26" s="47">
        <v>16000</v>
      </c>
      <c r="U26" s="51">
        <v>0</v>
      </c>
      <c r="V26" s="51">
        <v>0</v>
      </c>
      <c r="W26" s="47">
        <v>12000</v>
      </c>
      <c r="X26" s="47">
        <v>0</v>
      </c>
      <c r="Y26" s="47">
        <v>0</v>
      </c>
      <c r="Z26" s="47">
        <v>0</v>
      </c>
      <c r="AA26" s="47">
        <v>20000</v>
      </c>
      <c r="AB26" s="47">
        <v>0</v>
      </c>
      <c r="AC26" s="47">
        <v>0</v>
      </c>
      <c r="AD26" s="47">
        <v>0</v>
      </c>
      <c r="AE26" s="53">
        <v>0</v>
      </c>
      <c r="AF26" s="47">
        <v>12000</v>
      </c>
      <c r="AG26" s="47">
        <v>0</v>
      </c>
      <c r="AH26" s="47">
        <v>20000</v>
      </c>
      <c r="AI26" s="47">
        <v>0</v>
      </c>
      <c r="AJ26" s="47">
        <v>0</v>
      </c>
      <c r="AK26" s="47">
        <v>0</v>
      </c>
      <c r="AL26" s="40">
        <f t="shared" si="0"/>
        <v>125391.20999999999</v>
      </c>
      <c r="AM26" s="40">
        <f t="shared" si="1"/>
        <v>4323.8348275862063</v>
      </c>
      <c r="AN26" s="40">
        <f t="shared" si="2"/>
        <v>10658.252850000001</v>
      </c>
    </row>
    <row r="27" spans="1:40" ht="21" x14ac:dyDescent="0.35">
      <c r="A27" s="27" t="s">
        <v>180</v>
      </c>
      <c r="B27" s="27" t="s">
        <v>181</v>
      </c>
      <c r="C27" s="28" t="s">
        <v>182</v>
      </c>
      <c r="D27" s="27" t="s">
        <v>159</v>
      </c>
      <c r="E27" s="27" t="s">
        <v>160</v>
      </c>
      <c r="F27" s="27" t="s">
        <v>161</v>
      </c>
      <c r="G27" s="27" t="s">
        <v>104</v>
      </c>
      <c r="H27" s="47">
        <v>6726.87</v>
      </c>
      <c r="I27" s="47">
        <v>0</v>
      </c>
      <c r="J27" s="47">
        <v>6694.31</v>
      </c>
      <c r="K27" s="47">
        <v>0</v>
      </c>
      <c r="L27" s="47">
        <v>6854.28</v>
      </c>
      <c r="M27" s="47">
        <v>0</v>
      </c>
      <c r="N27" s="47">
        <v>0</v>
      </c>
      <c r="O27" s="47">
        <v>6694.31</v>
      </c>
      <c r="P27" s="47">
        <v>6854.28</v>
      </c>
      <c r="Q27" s="47">
        <v>6694.31</v>
      </c>
      <c r="R27" s="47">
        <v>0</v>
      </c>
      <c r="S27" s="47">
        <v>14540.79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6694.31</v>
      </c>
      <c r="Z27" s="47">
        <v>0</v>
      </c>
      <c r="AA27" s="47">
        <v>0</v>
      </c>
      <c r="AB27" s="47">
        <v>0</v>
      </c>
      <c r="AC27" s="47">
        <v>22000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26636.36</v>
      </c>
      <c r="AK27" s="47">
        <v>0</v>
      </c>
      <c r="AL27" s="40">
        <f t="shared" si="0"/>
        <v>110389.81999999999</v>
      </c>
      <c r="AM27" s="40">
        <f t="shared" si="1"/>
        <v>3679.6606666666662</v>
      </c>
      <c r="AN27" s="40">
        <f t="shared" si="2"/>
        <v>9383.1347000000005</v>
      </c>
    </row>
    <row r="28" spans="1:40" ht="21" x14ac:dyDescent="0.35">
      <c r="A28" s="30" t="s">
        <v>50</v>
      </c>
      <c r="B28" s="29" t="s">
        <v>51</v>
      </c>
      <c r="C28" s="31" t="s">
        <v>52</v>
      </c>
      <c r="D28" s="27" t="s">
        <v>165</v>
      </c>
      <c r="E28" s="27" t="s">
        <v>166</v>
      </c>
      <c r="F28" s="27" t="s">
        <v>167</v>
      </c>
      <c r="G28" s="27" t="s">
        <v>104</v>
      </c>
      <c r="H28" s="47"/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23900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52">
        <v>0</v>
      </c>
      <c r="Z28" s="52">
        <v>0</v>
      </c>
      <c r="AA28" s="47">
        <v>0</v>
      </c>
      <c r="AB28" s="47">
        <v>0</v>
      </c>
      <c r="AC28" s="47">
        <v>31332.6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23200</v>
      </c>
      <c r="AJ28" s="47">
        <v>0</v>
      </c>
      <c r="AK28" s="47">
        <v>0</v>
      </c>
      <c r="AL28" s="40">
        <f t="shared" si="0"/>
        <v>78432.600000000006</v>
      </c>
      <c r="AM28" s="40">
        <f t="shared" si="1"/>
        <v>2704.5724137931038</v>
      </c>
      <c r="AN28" s="40">
        <f t="shared" si="2"/>
        <v>6666.7710000000006</v>
      </c>
    </row>
    <row r="29" spans="1:40" ht="21" x14ac:dyDescent="0.35">
      <c r="A29" s="26" t="s">
        <v>168</v>
      </c>
      <c r="B29" s="27" t="s">
        <v>169</v>
      </c>
      <c r="C29" s="28" t="s">
        <v>170</v>
      </c>
      <c r="D29" s="27" t="s">
        <v>171</v>
      </c>
      <c r="E29" s="27" t="s">
        <v>172</v>
      </c>
      <c r="F29" s="27" t="s">
        <v>173</v>
      </c>
      <c r="G29" s="27" t="s">
        <v>104</v>
      </c>
      <c r="H29" s="47"/>
      <c r="I29" s="47">
        <v>18000</v>
      </c>
      <c r="J29" s="47">
        <v>0</v>
      </c>
      <c r="K29" s="47">
        <v>0</v>
      </c>
      <c r="L29" s="47">
        <v>44761.68</v>
      </c>
      <c r="M29" s="47">
        <v>0</v>
      </c>
      <c r="N29" s="47">
        <v>0</v>
      </c>
      <c r="O29" s="47">
        <v>0</v>
      </c>
      <c r="P29" s="47">
        <v>18000</v>
      </c>
      <c r="Q29" s="47">
        <v>0</v>
      </c>
      <c r="R29" s="47">
        <v>0</v>
      </c>
      <c r="S29" s="47">
        <v>44946</v>
      </c>
      <c r="T29" s="47">
        <v>0</v>
      </c>
      <c r="U29" s="47">
        <v>0</v>
      </c>
      <c r="V29" s="47">
        <v>0</v>
      </c>
      <c r="W29" s="47">
        <v>18000</v>
      </c>
      <c r="X29" s="47">
        <v>0</v>
      </c>
      <c r="Y29" s="47">
        <v>0</v>
      </c>
      <c r="Z29" s="47">
        <v>44761.68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12996.83</v>
      </c>
      <c r="AH29" s="47">
        <v>0</v>
      </c>
      <c r="AI29" s="47">
        <v>0</v>
      </c>
      <c r="AJ29" s="47">
        <v>0</v>
      </c>
      <c r="AK29" s="47">
        <v>32960</v>
      </c>
      <c r="AL29" s="40">
        <f t="shared" si="0"/>
        <v>234426.18999999997</v>
      </c>
      <c r="AM29" s="40">
        <f t="shared" si="1"/>
        <v>8083.6617241379299</v>
      </c>
      <c r="AN29" s="40">
        <f t="shared" si="2"/>
        <v>19926.226149999999</v>
      </c>
    </row>
    <row r="30" spans="1:40" ht="21" x14ac:dyDescent="0.35">
      <c r="A30" s="26" t="s">
        <v>213</v>
      </c>
      <c r="B30" s="27" t="s">
        <v>214</v>
      </c>
      <c r="C30" s="28" t="s">
        <v>205</v>
      </c>
      <c r="D30" s="27" t="s">
        <v>177</v>
      </c>
      <c r="E30" s="27" t="s">
        <v>178</v>
      </c>
      <c r="F30" s="27" t="s">
        <v>179</v>
      </c>
      <c r="G30" s="27" t="s">
        <v>104</v>
      </c>
      <c r="H30" s="47"/>
      <c r="I30" s="47">
        <v>0</v>
      </c>
      <c r="J30" s="47">
        <v>17300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15552.94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17300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52">
        <v>0</v>
      </c>
      <c r="AH30" s="52">
        <v>0</v>
      </c>
      <c r="AI30" s="47">
        <v>0</v>
      </c>
      <c r="AJ30" s="47">
        <v>0</v>
      </c>
      <c r="AK30" s="47">
        <v>21280.2</v>
      </c>
      <c r="AL30" s="40">
        <f t="shared" si="0"/>
        <v>71433.14</v>
      </c>
      <c r="AM30" s="40">
        <f t="shared" si="1"/>
        <v>2463.211724137931</v>
      </c>
      <c r="AN30" s="40">
        <f t="shared" si="2"/>
        <v>6071.8169000000007</v>
      </c>
    </row>
    <row r="31" spans="1:40" ht="21" x14ac:dyDescent="0.35">
      <c r="A31" s="26" t="s">
        <v>68</v>
      </c>
      <c r="B31" s="27" t="s">
        <v>69</v>
      </c>
      <c r="C31" s="28" t="s">
        <v>70</v>
      </c>
      <c r="D31" s="27" t="s">
        <v>183</v>
      </c>
      <c r="E31" s="27" t="s">
        <v>184</v>
      </c>
      <c r="F31" s="27" t="s">
        <v>185</v>
      </c>
      <c r="G31" s="27" t="s">
        <v>104</v>
      </c>
      <c r="H31" s="47"/>
      <c r="I31" s="47">
        <v>0</v>
      </c>
      <c r="J31" s="47">
        <v>0</v>
      </c>
      <c r="K31" s="47">
        <v>32626.79</v>
      </c>
      <c r="L31" s="47"/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25600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27000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24000</v>
      </c>
      <c r="AJ31" s="47">
        <v>0</v>
      </c>
      <c r="AK31" s="47">
        <v>0</v>
      </c>
      <c r="AL31" s="40">
        <f t="shared" si="0"/>
        <v>109226.79000000001</v>
      </c>
      <c r="AM31" s="40">
        <f t="shared" si="1"/>
        <v>3900.9567857142861</v>
      </c>
      <c r="AN31" s="40">
        <f t="shared" si="2"/>
        <v>9284.2771500000017</v>
      </c>
    </row>
    <row r="32" spans="1:40" ht="21" x14ac:dyDescent="0.35">
      <c r="A32" s="26" t="s">
        <v>133</v>
      </c>
      <c r="B32" s="27" t="s">
        <v>134</v>
      </c>
      <c r="C32" s="31" t="s">
        <v>135</v>
      </c>
      <c r="D32" s="29" t="s">
        <v>189</v>
      </c>
      <c r="E32" s="27" t="s">
        <v>190</v>
      </c>
      <c r="F32" s="27" t="s">
        <v>191</v>
      </c>
      <c r="G32" s="29" t="s">
        <v>192</v>
      </c>
      <c r="H32" s="47">
        <v>6726.87</v>
      </c>
      <c r="I32" s="47">
        <v>6694.31</v>
      </c>
      <c r="J32" s="47"/>
      <c r="K32" s="47">
        <v>0</v>
      </c>
      <c r="L32" s="47">
        <v>6854.28</v>
      </c>
      <c r="M32" s="47">
        <v>0</v>
      </c>
      <c r="N32" s="47">
        <v>0</v>
      </c>
      <c r="O32" s="47">
        <v>0</v>
      </c>
      <c r="P32" s="47">
        <v>6694.31</v>
      </c>
      <c r="Q32" s="47">
        <v>0</v>
      </c>
      <c r="R32" s="47">
        <v>6854.28</v>
      </c>
      <c r="S32" s="47">
        <v>0</v>
      </c>
      <c r="T32" s="47">
        <v>0</v>
      </c>
      <c r="U32" s="47">
        <v>0</v>
      </c>
      <c r="V32" s="47">
        <v>6694.31</v>
      </c>
      <c r="W32" s="47">
        <v>6726.37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6694.31</v>
      </c>
      <c r="AD32" s="47">
        <v>0</v>
      </c>
      <c r="AE32" s="47">
        <v>0</v>
      </c>
      <c r="AF32" s="47">
        <v>6726.87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0">
        <f t="shared" si="0"/>
        <v>60665.91</v>
      </c>
      <c r="AM32" s="40">
        <f t="shared" si="1"/>
        <v>2091.9279310344828</v>
      </c>
      <c r="AN32" s="40">
        <f t="shared" si="2"/>
        <v>5156.602350000001</v>
      </c>
    </row>
    <row r="33" spans="1:40" ht="21" x14ac:dyDescent="0.35">
      <c r="A33" s="26" t="s">
        <v>186</v>
      </c>
      <c r="B33" s="27" t="s">
        <v>187</v>
      </c>
      <c r="C33" s="28" t="s">
        <v>188</v>
      </c>
      <c r="D33" s="29" t="s">
        <v>196</v>
      </c>
      <c r="E33" s="29" t="s">
        <v>190</v>
      </c>
      <c r="F33" s="29" t="s">
        <v>197</v>
      </c>
      <c r="G33" s="29" t="s">
        <v>192</v>
      </c>
      <c r="H33" s="47"/>
      <c r="I33" s="47"/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12996.83</v>
      </c>
      <c r="R33" s="47">
        <v>0</v>
      </c>
      <c r="S33" s="47">
        <v>0</v>
      </c>
      <c r="T33" s="47">
        <v>0</v>
      </c>
      <c r="U33" s="47">
        <v>23680</v>
      </c>
      <c r="V33" s="47">
        <v>0</v>
      </c>
      <c r="W33" s="47">
        <v>0</v>
      </c>
      <c r="X33" s="47">
        <v>0</v>
      </c>
      <c r="Y33" s="47">
        <v>0</v>
      </c>
      <c r="Z33" s="47">
        <v>10729.54</v>
      </c>
      <c r="AA33" s="47">
        <v>0</v>
      </c>
      <c r="AB33" s="47">
        <v>800</v>
      </c>
      <c r="AC33" s="47">
        <v>0</v>
      </c>
      <c r="AD33" s="47">
        <v>0</v>
      </c>
      <c r="AE33" s="47">
        <v>21852.76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11180</v>
      </c>
      <c r="AL33" s="40">
        <f t="shared" si="0"/>
        <v>81239.13</v>
      </c>
      <c r="AM33" s="40">
        <f t="shared" si="1"/>
        <v>2901.3975</v>
      </c>
      <c r="AN33" s="40">
        <f t="shared" si="2"/>
        <v>6905.3260500000006</v>
      </c>
    </row>
    <row r="34" spans="1:40" ht="21" x14ac:dyDescent="0.35">
      <c r="A34" s="26" t="s">
        <v>150</v>
      </c>
      <c r="B34" s="27" t="s">
        <v>151</v>
      </c>
      <c r="C34" s="28" t="s">
        <v>152</v>
      </c>
      <c r="D34" s="27" t="s">
        <v>201</v>
      </c>
      <c r="E34" s="27" t="s">
        <v>190</v>
      </c>
      <c r="F34" s="27" t="s">
        <v>202</v>
      </c>
      <c r="G34" s="29" t="s">
        <v>192</v>
      </c>
      <c r="H34" s="47"/>
      <c r="I34" s="47">
        <v>44761.68</v>
      </c>
      <c r="J34" s="47">
        <v>0</v>
      </c>
      <c r="K34" s="47">
        <v>0</v>
      </c>
      <c r="L34" s="47">
        <v>0</v>
      </c>
      <c r="M34" s="47">
        <v>18000</v>
      </c>
      <c r="N34" s="47">
        <v>0</v>
      </c>
      <c r="O34" s="47">
        <v>0</v>
      </c>
      <c r="P34" s="47">
        <v>0</v>
      </c>
      <c r="Q34" s="47">
        <v>44761.68</v>
      </c>
      <c r="R34" s="47">
        <v>0</v>
      </c>
      <c r="S34" s="47">
        <v>0</v>
      </c>
      <c r="T34" s="47">
        <v>0</v>
      </c>
      <c r="U34" s="47">
        <v>0</v>
      </c>
      <c r="V34" s="47">
        <v>18000</v>
      </c>
      <c r="W34" s="47">
        <v>0</v>
      </c>
      <c r="X34" s="47">
        <v>0</v>
      </c>
      <c r="Y34" s="47">
        <v>0</v>
      </c>
      <c r="Z34" s="47">
        <v>44495.28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12729.25</v>
      </c>
      <c r="AG34" s="47">
        <v>0</v>
      </c>
      <c r="AH34" s="47">
        <v>0</v>
      </c>
      <c r="AI34" s="47">
        <v>0</v>
      </c>
      <c r="AJ34" s="47">
        <v>0</v>
      </c>
      <c r="AK34" s="47">
        <v>6694.31</v>
      </c>
      <c r="AL34" s="40">
        <f t="shared" si="0"/>
        <v>189442.2</v>
      </c>
      <c r="AM34" s="40">
        <f t="shared" si="1"/>
        <v>6532.4896551724141</v>
      </c>
      <c r="AN34" s="40">
        <f t="shared" si="2"/>
        <v>16102.587000000001</v>
      </c>
    </row>
    <row r="35" spans="1:40" ht="21" x14ac:dyDescent="0.35">
      <c r="A35" s="26" t="s">
        <v>92</v>
      </c>
      <c r="B35" s="27" t="s">
        <v>93</v>
      </c>
      <c r="C35" s="28" t="s">
        <v>94</v>
      </c>
      <c r="D35" s="29" t="s">
        <v>206</v>
      </c>
      <c r="E35" s="27" t="s">
        <v>190</v>
      </c>
      <c r="F35" s="27" t="s">
        <v>207</v>
      </c>
      <c r="G35" s="27" t="s">
        <v>208</v>
      </c>
      <c r="H35" s="47"/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16441.599999999999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54">
        <v>0</v>
      </c>
      <c r="AF35" s="52">
        <v>0</v>
      </c>
      <c r="AG35" s="52">
        <v>0</v>
      </c>
      <c r="AH35" s="52">
        <v>0</v>
      </c>
      <c r="AI35" s="52">
        <v>0</v>
      </c>
      <c r="AJ35" s="52">
        <v>0</v>
      </c>
      <c r="AK35" s="52">
        <v>0</v>
      </c>
      <c r="AL35" s="40">
        <f t="shared" si="0"/>
        <v>16441.599999999999</v>
      </c>
      <c r="AM35" s="40">
        <f t="shared" si="1"/>
        <v>566.95172413793102</v>
      </c>
      <c r="AN35" s="40">
        <f t="shared" si="2"/>
        <v>1397.5360000000001</v>
      </c>
    </row>
    <row r="36" spans="1:40" ht="21" x14ac:dyDescent="0.35">
      <c r="A36" s="35" t="s">
        <v>212</v>
      </c>
      <c r="B36" s="35"/>
      <c r="C36" s="49"/>
      <c r="D36" s="50"/>
      <c r="E36" s="35"/>
      <c r="F36" s="35"/>
      <c r="G36" s="35"/>
      <c r="H36" s="47"/>
      <c r="I36" s="47"/>
      <c r="J36" s="47"/>
      <c r="K36" s="47"/>
      <c r="L36" s="47">
        <v>2113.2323999999999</v>
      </c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>
        <v>2240.7600000000002</v>
      </c>
      <c r="Z36" s="47"/>
      <c r="AA36" s="47"/>
      <c r="AB36" s="47"/>
      <c r="AC36" s="47"/>
      <c r="AD36" s="47"/>
      <c r="AE36" s="47">
        <v>1434.68</v>
      </c>
      <c r="AF36" s="47"/>
      <c r="AG36" s="47"/>
      <c r="AH36" s="47"/>
      <c r="AI36" s="47"/>
      <c r="AJ36" s="47"/>
      <c r="AK36" s="47"/>
      <c r="AL36" s="40"/>
      <c r="AM36" s="40"/>
      <c r="AN36" s="40"/>
    </row>
    <row r="37" spans="1:40" ht="21" x14ac:dyDescent="0.35">
      <c r="C37" s="34" t="s">
        <v>1</v>
      </c>
      <c r="D37" s="35"/>
      <c r="E37" s="34"/>
      <c r="H37" s="38">
        <f>SUM(H5:H35)</f>
        <v>68867.22</v>
      </c>
      <c r="I37" s="38">
        <f t="shared" ref="I37:AL37" si="3">SUM(I5:I35)</f>
        <v>151343.47999999998</v>
      </c>
      <c r="J37" s="38">
        <f t="shared" si="3"/>
        <v>84609.42</v>
      </c>
      <c r="K37" s="38">
        <f t="shared" si="3"/>
        <v>84164</v>
      </c>
      <c r="L37" s="38">
        <f t="shared" ref="L37:T37" si="4">SUM(L5:L36)</f>
        <v>197463.04240000001</v>
      </c>
      <c r="M37" s="38">
        <f t="shared" si="4"/>
        <v>64435.08</v>
      </c>
      <c r="N37" s="38">
        <f t="shared" si="4"/>
        <v>0</v>
      </c>
      <c r="O37" s="38">
        <f t="shared" si="4"/>
        <v>68552.899999999994</v>
      </c>
      <c r="P37" s="38">
        <f t="shared" si="4"/>
        <v>91044.88</v>
      </c>
      <c r="Q37" s="38">
        <f t="shared" si="4"/>
        <v>218620.86</v>
      </c>
      <c r="R37" s="38">
        <f t="shared" si="4"/>
        <v>56578.759999999995</v>
      </c>
      <c r="S37" s="38">
        <f t="shared" si="4"/>
        <v>136582.01</v>
      </c>
      <c r="T37" s="38">
        <f t="shared" si="4"/>
        <v>195588.18</v>
      </c>
      <c r="U37" s="38">
        <f t="shared" si="3"/>
        <v>23680</v>
      </c>
      <c r="V37" s="38">
        <f t="shared" si="3"/>
        <v>31388.620000000003</v>
      </c>
      <c r="W37" s="38">
        <f t="shared" si="3"/>
        <v>61753.01</v>
      </c>
      <c r="X37" s="38">
        <f t="shared" si="3"/>
        <v>92594.31</v>
      </c>
      <c r="Y37" s="38">
        <f>SUM(Y5:Y36)</f>
        <v>134157.84</v>
      </c>
      <c r="Z37" s="38">
        <f t="shared" si="3"/>
        <v>256693.21</v>
      </c>
      <c r="AA37" s="38">
        <f t="shared" si="3"/>
        <v>84250.87</v>
      </c>
      <c r="AB37" s="38">
        <f t="shared" si="3"/>
        <v>31800</v>
      </c>
      <c r="AC37" s="38">
        <f t="shared" si="3"/>
        <v>128309.82</v>
      </c>
      <c r="AD37" s="38">
        <f t="shared" si="3"/>
        <v>39694.31</v>
      </c>
      <c r="AE37" s="38">
        <f>SUM(AE5:AE36)</f>
        <v>153177.34999999998</v>
      </c>
      <c r="AF37" s="38">
        <f t="shared" si="3"/>
        <v>91121.36</v>
      </c>
      <c r="AG37" s="38">
        <f t="shared" si="3"/>
        <v>141483.59999999998</v>
      </c>
      <c r="AH37" s="38">
        <f t="shared" si="3"/>
        <v>65769.27</v>
      </c>
      <c r="AI37" s="38">
        <f t="shared" si="3"/>
        <v>63200</v>
      </c>
      <c r="AJ37" s="38">
        <f t="shared" si="3"/>
        <v>105455.95</v>
      </c>
      <c r="AK37" s="38">
        <f t="shared" si="3"/>
        <v>246145.86000000002</v>
      </c>
      <c r="AL37" s="40">
        <f t="shared" si="3"/>
        <v>3162736.5400000005</v>
      </c>
      <c r="AM37" s="40">
        <f t="shared" ref="AM37" si="5">SUM(AM5:AM35)</f>
        <v>108814.50676436783</v>
      </c>
      <c r="AN37" s="40">
        <f t="shared" ref="AN37" si="6">SUM(AN5:AN35)</f>
        <v>268832.60590000008</v>
      </c>
    </row>
    <row r="38" spans="1:40" x14ac:dyDescent="0.25">
      <c r="D38" s="33" t="s">
        <v>9</v>
      </c>
      <c r="H38" s="24">
        <v>45901</v>
      </c>
      <c r="I38" s="24">
        <v>45902</v>
      </c>
      <c r="J38" s="24">
        <v>45903</v>
      </c>
      <c r="K38" s="24">
        <v>45904</v>
      </c>
      <c r="L38" s="24">
        <v>45905</v>
      </c>
      <c r="M38" s="24">
        <v>45906</v>
      </c>
      <c r="N38" s="24">
        <v>45907</v>
      </c>
      <c r="O38" s="24">
        <v>45908</v>
      </c>
      <c r="P38" s="24">
        <v>45909</v>
      </c>
      <c r="Q38" s="24">
        <v>45910</v>
      </c>
      <c r="R38" s="24">
        <v>45911</v>
      </c>
      <c r="S38" s="24">
        <v>45912</v>
      </c>
      <c r="T38" s="24">
        <v>45913</v>
      </c>
      <c r="U38" s="24">
        <v>45914</v>
      </c>
      <c r="V38" s="24">
        <v>45915</v>
      </c>
      <c r="W38" s="24">
        <v>45916</v>
      </c>
      <c r="X38" s="24">
        <v>45917</v>
      </c>
      <c r="Y38" s="24">
        <v>45918</v>
      </c>
      <c r="Z38" s="24">
        <v>45919</v>
      </c>
      <c r="AA38" s="24">
        <v>45920</v>
      </c>
      <c r="AB38" s="24">
        <v>45921</v>
      </c>
      <c r="AC38" s="24">
        <v>45922</v>
      </c>
      <c r="AD38" s="24">
        <v>45923</v>
      </c>
      <c r="AE38" s="24">
        <v>45924</v>
      </c>
      <c r="AF38" s="24">
        <v>45925</v>
      </c>
      <c r="AG38" s="24">
        <v>45926</v>
      </c>
      <c r="AH38" s="24">
        <v>45927</v>
      </c>
      <c r="AI38" s="24">
        <v>45928</v>
      </c>
      <c r="AJ38" s="24">
        <v>45929</v>
      </c>
      <c r="AK38" s="24">
        <v>45930</v>
      </c>
      <c r="AM38" t="s">
        <v>9</v>
      </c>
      <c r="AN38" t="s">
        <v>9</v>
      </c>
    </row>
  </sheetData>
  <sortState xmlns:xlrd2="http://schemas.microsoft.com/office/spreadsheetml/2017/richdata2" ref="A5:C35">
    <sortCondition ref="A5:A35"/>
  </sortState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F278-39CE-4E14-8FEA-A8DEF5909376}">
  <dimension ref="C4:M43"/>
  <sheetViews>
    <sheetView topLeftCell="A4" workbookViewId="0">
      <selection activeCell="G13" sqref="G13"/>
    </sheetView>
  </sheetViews>
  <sheetFormatPr defaultRowHeight="15" x14ac:dyDescent="0.25"/>
  <cols>
    <col min="3" max="3" width="6.7109375" bestFit="1" customWidth="1"/>
    <col min="4" max="4" width="14" bestFit="1" customWidth="1"/>
    <col min="5" max="5" width="21.5703125" bestFit="1" customWidth="1"/>
    <col min="6" max="6" width="6.7109375" bestFit="1" customWidth="1"/>
    <col min="7" max="7" width="15.5703125" bestFit="1" customWidth="1"/>
    <col min="8" max="9" width="20.42578125" customWidth="1"/>
    <col min="10" max="10" width="16.5703125" bestFit="1" customWidth="1"/>
    <col min="11" max="11" width="27.7109375" customWidth="1"/>
    <col min="12" max="12" width="13.42578125" style="12" customWidth="1"/>
    <col min="13" max="13" width="14.42578125" bestFit="1" customWidth="1"/>
  </cols>
  <sheetData>
    <row r="4" spans="3:13" ht="24" x14ac:dyDescent="0.4">
      <c r="C4" s="88" t="s">
        <v>10</v>
      </c>
      <c r="D4" s="88"/>
      <c r="E4" s="88"/>
      <c r="F4" s="88"/>
      <c r="G4" s="88"/>
      <c r="H4" s="88"/>
      <c r="I4" s="88"/>
      <c r="J4" s="88"/>
      <c r="K4" s="88"/>
    </row>
    <row r="5" spans="3:13" ht="19.5" thickBot="1" x14ac:dyDescent="0.35">
      <c r="C5" s="13"/>
      <c r="D5" s="13"/>
      <c r="E5" s="13"/>
      <c r="F5" s="13"/>
      <c r="G5" s="13"/>
      <c r="H5" s="13"/>
      <c r="I5" s="13"/>
      <c r="J5" s="13"/>
      <c r="K5" s="13"/>
    </row>
    <row r="6" spans="3:13" ht="15.75" thickBot="1" x14ac:dyDescent="0.3">
      <c r="C6" s="20" t="s">
        <v>15</v>
      </c>
      <c r="D6" s="21" t="s">
        <v>14</v>
      </c>
      <c r="E6" s="21" t="s">
        <v>16</v>
      </c>
      <c r="F6" s="21"/>
      <c r="G6" s="22" t="s">
        <v>17</v>
      </c>
    </row>
    <row r="7" spans="3:13" x14ac:dyDescent="0.25">
      <c r="C7" s="16">
        <v>4</v>
      </c>
      <c r="D7" s="17" t="s">
        <v>11</v>
      </c>
      <c r="E7" s="18">
        <v>70000</v>
      </c>
      <c r="F7" s="17"/>
      <c r="G7" s="19">
        <f>E7*C7</f>
        <v>280000</v>
      </c>
    </row>
    <row r="8" spans="3:13" ht="15.75" thickBot="1" x14ac:dyDescent="0.3">
      <c r="C8" s="16">
        <v>27</v>
      </c>
      <c r="D8" s="17" t="s">
        <v>12</v>
      </c>
      <c r="E8" s="18">
        <v>100000</v>
      </c>
      <c r="F8" s="17"/>
      <c r="G8" s="19">
        <f>E8*C8</f>
        <v>2700000</v>
      </c>
    </row>
    <row r="9" spans="3:13" ht="15.75" thickBot="1" x14ac:dyDescent="0.3">
      <c r="C9" s="20"/>
      <c r="D9" s="21"/>
      <c r="E9" s="21" t="s">
        <v>13</v>
      </c>
      <c r="F9" s="21"/>
      <c r="G9" s="23">
        <f>SUM(G7:G8)</f>
        <v>2980000</v>
      </c>
    </row>
    <row r="11" spans="3:13" x14ac:dyDescent="0.25">
      <c r="G11" s="1" t="s">
        <v>0</v>
      </c>
    </row>
    <row r="12" spans="3:13" ht="30.75" x14ac:dyDescent="0.3">
      <c r="C12" s="41" t="s">
        <v>1</v>
      </c>
      <c r="D12" s="42" t="s">
        <v>2</v>
      </c>
      <c r="E12" s="42" t="s">
        <v>3</v>
      </c>
      <c r="F12" s="41" t="s">
        <v>1</v>
      </c>
      <c r="G12" s="43" t="s">
        <v>4</v>
      </c>
      <c r="H12" s="43" t="s">
        <v>5</v>
      </c>
      <c r="I12" s="43" t="s">
        <v>6</v>
      </c>
      <c r="J12" s="41" t="s">
        <v>7</v>
      </c>
      <c r="K12" s="41" t="s">
        <v>8</v>
      </c>
      <c r="L12" s="45" t="s">
        <v>211</v>
      </c>
      <c r="M12" s="44" t="s">
        <v>210</v>
      </c>
    </row>
    <row r="13" spans="3:13" x14ac:dyDescent="0.25">
      <c r="C13" s="2">
        <v>45931</v>
      </c>
      <c r="D13" s="3">
        <f>AVERAGE(G13)</f>
        <v>89766.45</v>
      </c>
      <c r="E13" s="3">
        <f>D13*30</f>
        <v>2692993.5</v>
      </c>
      <c r="F13" s="2">
        <v>45931</v>
      </c>
      <c r="G13" s="4">
        <f>'PRODUÇAO (OUT)'!H42</f>
        <v>89766.45</v>
      </c>
      <c r="H13" s="5">
        <f>G13</f>
        <v>89766.45</v>
      </c>
      <c r="I13" s="6">
        <f>H13/3000000</f>
        <v>2.9922149999999998E-2</v>
      </c>
      <c r="J13" s="5">
        <f>H13*30</f>
        <v>2692993.5</v>
      </c>
      <c r="K13" s="7">
        <f>J13-3000000</f>
        <v>-307006.5</v>
      </c>
      <c r="L13" s="46">
        <f>J13/3000000</f>
        <v>0.89766449999999998</v>
      </c>
      <c r="M13" s="15">
        <f>G13*8.6%</f>
        <v>7719.9146999999994</v>
      </c>
    </row>
    <row r="14" spans="3:13" x14ac:dyDescent="0.25">
      <c r="C14" s="2">
        <v>45932</v>
      </c>
      <c r="D14" s="3">
        <f>AVERAGE(G13:G14)</f>
        <v>71899.255000000005</v>
      </c>
      <c r="E14" s="3">
        <f t="shared" ref="E14:E42" si="0">D14*30</f>
        <v>2156977.6500000004</v>
      </c>
      <c r="F14" s="2">
        <v>45932</v>
      </c>
      <c r="G14" s="4">
        <f>'PRODUÇAO (OUT)'!I42</f>
        <v>54032.06</v>
      </c>
      <c r="H14" s="8">
        <f>H13+G14</f>
        <v>143798.51</v>
      </c>
      <c r="I14" s="6">
        <f t="shared" ref="I14:I43" si="1">H14/3000000</f>
        <v>4.7932836666666673E-2</v>
      </c>
      <c r="J14" s="9">
        <f>H14/2*30</f>
        <v>2156977.6500000004</v>
      </c>
      <c r="K14" s="7">
        <f t="shared" ref="K14:K43" si="2">J14-3000000</f>
        <v>-843022.34999999963</v>
      </c>
      <c r="L14" s="46">
        <f>J14/3000000</f>
        <v>0.71899255000000017</v>
      </c>
      <c r="M14" s="15">
        <f t="shared" ref="M14:M43" si="3">G14*8.6%</f>
        <v>4646.7571599999992</v>
      </c>
    </row>
    <row r="15" spans="3:13" x14ac:dyDescent="0.25">
      <c r="C15" s="2">
        <v>45933</v>
      </c>
      <c r="D15" s="3">
        <f>AVERAGE(G13:G15)</f>
        <v>71528.886666666673</v>
      </c>
      <c r="E15" s="3">
        <f t="shared" si="0"/>
        <v>2145866.6</v>
      </c>
      <c r="F15" s="2">
        <v>45933</v>
      </c>
      <c r="G15" s="4">
        <f>'PRODUÇAO (OUT)'!J42</f>
        <v>70788.149999999994</v>
      </c>
      <c r="H15" s="8">
        <f t="shared" ref="H15:H43" si="4">H14+G15</f>
        <v>214586.66</v>
      </c>
      <c r="I15" s="6">
        <f t="shared" si="1"/>
        <v>7.1528886666666666E-2</v>
      </c>
      <c r="J15" s="9">
        <f>H15/3*30</f>
        <v>2145866.6</v>
      </c>
      <c r="K15" s="7">
        <f t="shared" si="2"/>
        <v>-854133.39999999991</v>
      </c>
      <c r="L15" s="46">
        <f t="shared" ref="L15:L43" si="5">J15/3000000</f>
        <v>0.71528886666666669</v>
      </c>
      <c r="M15" s="15">
        <f t="shared" si="3"/>
        <v>6087.7808999999988</v>
      </c>
    </row>
    <row r="16" spans="3:13" x14ac:dyDescent="0.25">
      <c r="C16" s="2">
        <v>45934</v>
      </c>
      <c r="D16" s="3">
        <f>AVERAGE(G13:G16)</f>
        <v>69328.385000000009</v>
      </c>
      <c r="E16" s="3">
        <f t="shared" si="0"/>
        <v>2079851.5500000003</v>
      </c>
      <c r="F16" s="2">
        <v>45934</v>
      </c>
      <c r="G16" s="4">
        <f>'PRODUÇAO (OUT)'!K42</f>
        <v>62726.880000000005</v>
      </c>
      <c r="H16" s="8">
        <f>H15+G16</f>
        <v>277313.54000000004</v>
      </c>
      <c r="I16" s="6">
        <f t="shared" si="1"/>
        <v>9.2437846666666684E-2</v>
      </c>
      <c r="J16" s="9">
        <f>H16/4*30</f>
        <v>2079851.5500000003</v>
      </c>
      <c r="K16" s="7">
        <f t="shared" si="2"/>
        <v>-920148.44999999972</v>
      </c>
      <c r="L16" s="46">
        <f t="shared" si="5"/>
        <v>0.69328385000000015</v>
      </c>
      <c r="M16" s="15">
        <f t="shared" si="3"/>
        <v>5394.5116799999996</v>
      </c>
    </row>
    <row r="17" spans="3:13" x14ac:dyDescent="0.25">
      <c r="C17" s="2">
        <v>45935</v>
      </c>
      <c r="D17" s="3">
        <f>AVERAGE(G13:G17)</f>
        <v>55462.708000000006</v>
      </c>
      <c r="E17" s="3">
        <f t="shared" si="0"/>
        <v>1663881.2400000002</v>
      </c>
      <c r="F17" s="2">
        <v>45935</v>
      </c>
      <c r="G17" s="4">
        <f>'PRODUÇAO (OUT)'!L42</f>
        <v>0</v>
      </c>
      <c r="H17" s="8">
        <f t="shared" si="4"/>
        <v>277313.54000000004</v>
      </c>
      <c r="I17" s="6">
        <f t="shared" si="1"/>
        <v>9.2437846666666684E-2</v>
      </c>
      <c r="J17" s="9">
        <f>H17/5*30</f>
        <v>1663881.2400000002</v>
      </c>
      <c r="K17" s="7">
        <f t="shared" si="2"/>
        <v>-1336118.7599999998</v>
      </c>
      <c r="L17" s="46">
        <f t="shared" si="5"/>
        <v>0.55462708000000005</v>
      </c>
      <c r="M17" s="15">
        <f t="shared" si="3"/>
        <v>0</v>
      </c>
    </row>
    <row r="18" spans="3:13" x14ac:dyDescent="0.25">
      <c r="C18" s="2">
        <v>45936</v>
      </c>
      <c r="D18" s="3">
        <f>AVERAGE(G13:G18)</f>
        <v>55773.158333333333</v>
      </c>
      <c r="E18" s="3">
        <f t="shared" si="0"/>
        <v>1673194.75</v>
      </c>
      <c r="F18" s="2">
        <v>45936</v>
      </c>
      <c r="G18" s="4">
        <f>'PRODUÇAO (OUT)'!M42</f>
        <v>57325.409999999996</v>
      </c>
      <c r="H18" s="8">
        <f>H17+G18</f>
        <v>334638.95</v>
      </c>
      <c r="I18" s="6">
        <f t="shared" si="1"/>
        <v>0.11154631666666667</v>
      </c>
      <c r="J18" s="9">
        <f>H18/6*30</f>
        <v>1673194.75</v>
      </c>
      <c r="K18" s="7">
        <f t="shared" si="2"/>
        <v>-1326805.25</v>
      </c>
      <c r="L18" s="46">
        <f t="shared" si="5"/>
        <v>0.55773158333333328</v>
      </c>
      <c r="M18" s="15">
        <f t="shared" si="3"/>
        <v>4929.9852599999995</v>
      </c>
    </row>
    <row r="19" spans="3:13" x14ac:dyDescent="0.25">
      <c r="C19" s="2">
        <v>45937</v>
      </c>
      <c r="D19" s="3">
        <f>AVERAGE(G13:G19)</f>
        <v>58390.632857142853</v>
      </c>
      <c r="E19" s="3">
        <f t="shared" si="0"/>
        <v>1751718.9857142856</v>
      </c>
      <c r="F19" s="2">
        <v>45937</v>
      </c>
      <c r="G19" s="4">
        <f>'PRODUÇAO (OUT)'!N42</f>
        <v>74095.48</v>
      </c>
      <c r="H19" s="8">
        <f t="shared" si="4"/>
        <v>408734.43</v>
      </c>
      <c r="I19" s="6">
        <f t="shared" si="1"/>
        <v>0.13624480999999999</v>
      </c>
      <c r="J19" s="9">
        <f>H19/7*30</f>
        <v>1751718.9857142856</v>
      </c>
      <c r="K19" s="7">
        <f t="shared" si="2"/>
        <v>-1248281.0142857144</v>
      </c>
      <c r="L19" s="46">
        <f t="shared" si="5"/>
        <v>0.58390632857142855</v>
      </c>
      <c r="M19" s="15">
        <f t="shared" si="3"/>
        <v>6372.2112799999995</v>
      </c>
    </row>
    <row r="20" spans="3:13" x14ac:dyDescent="0.25">
      <c r="C20" s="2">
        <v>45938</v>
      </c>
      <c r="D20" s="3">
        <f>AVERAGE(G13:G20)</f>
        <v>58882.076249999998</v>
      </c>
      <c r="E20" s="3">
        <f t="shared" si="0"/>
        <v>1766462.2874999999</v>
      </c>
      <c r="F20" s="2">
        <v>45938</v>
      </c>
      <c r="G20" s="4">
        <f>'PRODUÇAO (OUT)'!O42</f>
        <v>62322.18</v>
      </c>
      <c r="H20" s="8">
        <f t="shared" si="4"/>
        <v>471056.61</v>
      </c>
      <c r="I20" s="6">
        <f t="shared" si="1"/>
        <v>0.15701887</v>
      </c>
      <c r="J20" s="9">
        <f>H20/8*30</f>
        <v>1766462.2874999999</v>
      </c>
      <c r="K20" s="7">
        <f t="shared" si="2"/>
        <v>-1233537.7125000001</v>
      </c>
      <c r="L20" s="46">
        <f t="shared" si="5"/>
        <v>0.58882076249999993</v>
      </c>
      <c r="M20" s="15">
        <f t="shared" si="3"/>
        <v>5359.70748</v>
      </c>
    </row>
    <row r="21" spans="3:13" x14ac:dyDescent="0.25">
      <c r="C21" s="2">
        <v>45939</v>
      </c>
      <c r="D21" s="3">
        <f>AVERAGE(G13:G21)</f>
        <v>56924.726666666662</v>
      </c>
      <c r="E21" s="3">
        <f t="shared" si="0"/>
        <v>1707741.7999999998</v>
      </c>
      <c r="F21" s="2">
        <v>45939</v>
      </c>
      <c r="G21" s="4">
        <f>'PRODUÇAO (OUT)'!P42</f>
        <v>41265.929999999993</v>
      </c>
      <c r="H21" s="8">
        <f t="shared" si="4"/>
        <v>512322.54</v>
      </c>
      <c r="I21" s="6">
        <f t="shared" si="1"/>
        <v>0.17077418</v>
      </c>
      <c r="J21" s="9">
        <f>H21/9*30</f>
        <v>1707741.7999999998</v>
      </c>
      <c r="K21" s="7">
        <f t="shared" si="2"/>
        <v>-1292258.2000000002</v>
      </c>
      <c r="L21" s="46">
        <f t="shared" si="5"/>
        <v>0.56924726666666658</v>
      </c>
      <c r="M21" s="15">
        <f t="shared" si="3"/>
        <v>3548.869979999999</v>
      </c>
    </row>
    <row r="22" spans="3:13" x14ac:dyDescent="0.25">
      <c r="C22" s="2">
        <v>45940</v>
      </c>
      <c r="D22" s="3">
        <f>AVERAGE(G13:G22)</f>
        <v>71447.391999999993</v>
      </c>
      <c r="E22" s="3">
        <f t="shared" si="0"/>
        <v>2143421.7599999998</v>
      </c>
      <c r="F22" s="2">
        <v>45940</v>
      </c>
      <c r="G22" s="4">
        <f>'PRODUÇAO (OUT)'!Q42</f>
        <v>202151.38</v>
      </c>
      <c r="H22" s="8">
        <f t="shared" si="4"/>
        <v>714473.91999999993</v>
      </c>
      <c r="I22" s="6">
        <f t="shared" si="1"/>
        <v>0.2381579733333333</v>
      </c>
      <c r="J22" s="9">
        <f>H22/10*30</f>
        <v>2143421.7599999998</v>
      </c>
      <c r="K22" s="7">
        <f t="shared" si="2"/>
        <v>-856578.24000000022</v>
      </c>
      <c r="L22" s="46">
        <f t="shared" si="5"/>
        <v>0.71447391999999987</v>
      </c>
      <c r="M22" s="15">
        <f t="shared" si="3"/>
        <v>17385.018679999997</v>
      </c>
    </row>
    <row r="23" spans="3:13" x14ac:dyDescent="0.25">
      <c r="C23" s="2">
        <v>45941</v>
      </c>
      <c r="D23" s="3">
        <f>AVERAGE(G13:G23)</f>
        <v>70899.252727272717</v>
      </c>
      <c r="E23" s="3">
        <f t="shared" si="0"/>
        <v>2126977.5818181816</v>
      </c>
      <c r="F23" s="2">
        <v>45941</v>
      </c>
      <c r="G23" s="4">
        <f>'PRODUÇAO (OUT)'!R42</f>
        <v>65417.860000000008</v>
      </c>
      <c r="H23" s="8">
        <f t="shared" si="4"/>
        <v>779891.77999999991</v>
      </c>
      <c r="I23" s="6">
        <f t="shared" si="1"/>
        <v>0.25996392666666662</v>
      </c>
      <c r="J23" s="9">
        <f>H23/11*30</f>
        <v>2126977.5818181816</v>
      </c>
      <c r="K23" s="7">
        <f t="shared" si="2"/>
        <v>-873022.41818181844</v>
      </c>
      <c r="L23" s="46">
        <f t="shared" si="5"/>
        <v>0.70899252727272721</v>
      </c>
      <c r="M23" s="15">
        <f t="shared" si="3"/>
        <v>5625.9359599999998</v>
      </c>
    </row>
    <row r="24" spans="3:13" x14ac:dyDescent="0.25">
      <c r="C24" s="2">
        <v>45942</v>
      </c>
      <c r="D24" s="3">
        <f>AVERAGE(G13:G24)</f>
        <v>64990.981666666659</v>
      </c>
      <c r="E24" s="3">
        <f t="shared" si="0"/>
        <v>1949729.4499999997</v>
      </c>
      <c r="F24" s="2">
        <v>45942</v>
      </c>
      <c r="G24" s="4">
        <f>'PRODUÇAO (OUT)'!S42</f>
        <v>0</v>
      </c>
      <c r="H24" s="8">
        <f t="shared" si="4"/>
        <v>779891.77999999991</v>
      </c>
      <c r="I24" s="6">
        <f t="shared" si="1"/>
        <v>0.25996392666666662</v>
      </c>
      <c r="J24" s="9">
        <f>H24/12*30</f>
        <v>1949729.4499999997</v>
      </c>
      <c r="K24" s="7">
        <f t="shared" si="2"/>
        <v>-1050270.5500000003</v>
      </c>
      <c r="L24" s="46">
        <f t="shared" si="5"/>
        <v>0.64990981666666658</v>
      </c>
      <c r="M24" s="15">
        <f t="shared" si="3"/>
        <v>0</v>
      </c>
    </row>
    <row r="25" spans="3:13" x14ac:dyDescent="0.25">
      <c r="C25" s="2">
        <v>45943</v>
      </c>
      <c r="D25" s="3">
        <f>AVERAGE(G13:G25)</f>
        <v>69049.064615384603</v>
      </c>
      <c r="E25" s="3">
        <f t="shared" si="0"/>
        <v>2071471.9384615382</v>
      </c>
      <c r="F25" s="2">
        <v>45943</v>
      </c>
      <c r="G25" s="4">
        <f>'PRODUÇAO (OUT)'!T42</f>
        <v>117746.06</v>
      </c>
      <c r="H25" s="8">
        <f t="shared" si="4"/>
        <v>897637.83999999985</v>
      </c>
      <c r="I25" s="6">
        <f t="shared" si="1"/>
        <v>0.29921261333333327</v>
      </c>
      <c r="J25" s="9">
        <f>H25/13*30</f>
        <v>2071471.9384615382</v>
      </c>
      <c r="K25" s="7">
        <f t="shared" si="2"/>
        <v>-928528.06153846183</v>
      </c>
      <c r="L25" s="46">
        <f t="shared" si="5"/>
        <v>0.69049064615384603</v>
      </c>
      <c r="M25" s="15">
        <f t="shared" si="3"/>
        <v>10126.16116</v>
      </c>
    </row>
    <row r="26" spans="3:13" x14ac:dyDescent="0.25">
      <c r="C26" s="2">
        <v>45944</v>
      </c>
      <c r="D26" s="3">
        <f>AVERAGE(G13:G26)</f>
        <v>72563.823571428555</v>
      </c>
      <c r="E26" s="3">
        <f t="shared" si="0"/>
        <v>2176914.7071428564</v>
      </c>
      <c r="F26" s="2">
        <v>45944</v>
      </c>
      <c r="G26" s="4">
        <f>'PRODUÇAO (OUT)'!U42</f>
        <v>118255.69</v>
      </c>
      <c r="H26" s="8">
        <f t="shared" si="4"/>
        <v>1015893.5299999998</v>
      </c>
      <c r="I26" s="6">
        <f t="shared" si="1"/>
        <v>0.33863117666666659</v>
      </c>
      <c r="J26" s="9">
        <f>H26/14*30</f>
        <v>2176914.7071428564</v>
      </c>
      <c r="K26" s="7">
        <f t="shared" si="2"/>
        <v>-823085.29285714356</v>
      </c>
      <c r="L26" s="46">
        <f t="shared" si="5"/>
        <v>0.72563823571428543</v>
      </c>
      <c r="M26" s="15">
        <f t="shared" si="3"/>
        <v>10169.98934</v>
      </c>
    </row>
    <row r="27" spans="3:13" x14ac:dyDescent="0.25">
      <c r="C27" s="2">
        <v>45945</v>
      </c>
      <c r="D27" s="3">
        <f>AVERAGE(G13:G27)</f>
        <v>71674.885999999984</v>
      </c>
      <c r="E27" s="3">
        <f t="shared" si="0"/>
        <v>2150246.5799999996</v>
      </c>
      <c r="F27" s="2">
        <v>45945</v>
      </c>
      <c r="G27" s="4">
        <f>'PRODUÇAO (OUT)'!V42</f>
        <v>59229.760000000002</v>
      </c>
      <c r="H27" s="8">
        <f t="shared" si="4"/>
        <v>1075123.2899999998</v>
      </c>
      <c r="I27" s="6">
        <f t="shared" si="1"/>
        <v>0.35837442999999991</v>
      </c>
      <c r="J27" s="9">
        <f>H27/15*30</f>
        <v>2150246.5799999996</v>
      </c>
      <c r="K27" s="7">
        <f t="shared" si="2"/>
        <v>-849753.42000000039</v>
      </c>
      <c r="L27" s="46">
        <f t="shared" si="5"/>
        <v>0.71674885999999982</v>
      </c>
      <c r="M27" s="15">
        <f t="shared" si="3"/>
        <v>5093.75936</v>
      </c>
    </row>
    <row r="28" spans="3:13" x14ac:dyDescent="0.25">
      <c r="C28" s="2">
        <v>45946</v>
      </c>
      <c r="D28" s="3">
        <f>AVERAGE(G13:G28)</f>
        <v>71125.574999999983</v>
      </c>
      <c r="E28" s="3">
        <f t="shared" si="0"/>
        <v>2133767.2499999995</v>
      </c>
      <c r="F28" s="2">
        <v>45946</v>
      </c>
      <c r="G28" s="4">
        <f>'PRODUÇAO (OUT)'!W42</f>
        <v>62885.909999999996</v>
      </c>
      <c r="H28" s="8">
        <f t="shared" si="4"/>
        <v>1138009.1999999997</v>
      </c>
      <c r="I28" s="6">
        <f t="shared" si="1"/>
        <v>0.37933639999999991</v>
      </c>
      <c r="J28" s="9">
        <f>H28/16*30</f>
        <v>2133767.2499999995</v>
      </c>
      <c r="K28" s="7">
        <f t="shared" si="2"/>
        <v>-866232.75000000047</v>
      </c>
      <c r="L28" s="46">
        <f t="shared" si="5"/>
        <v>0.71125574999999985</v>
      </c>
      <c r="M28" s="15">
        <f t="shared" si="3"/>
        <v>5408.188259999999</v>
      </c>
    </row>
    <row r="29" spans="3:13" x14ac:dyDescent="0.25">
      <c r="C29" s="2">
        <v>45947</v>
      </c>
      <c r="D29" s="3">
        <f>AVERAGE(G13:G29)</f>
        <v>75422.926470588223</v>
      </c>
      <c r="E29" s="3">
        <f t="shared" si="0"/>
        <v>2262687.7941176468</v>
      </c>
      <c r="F29" s="2">
        <v>45947</v>
      </c>
      <c r="G29" s="4">
        <f>'PRODUÇAO (OUT)'!X42</f>
        <v>144180.54999999999</v>
      </c>
      <c r="H29" s="8">
        <f t="shared" si="4"/>
        <v>1282189.7499999998</v>
      </c>
      <c r="I29" s="6">
        <f t="shared" si="1"/>
        <v>0.42739658333333325</v>
      </c>
      <c r="J29" s="9">
        <f>H29/17*30</f>
        <v>2262687.7941176468</v>
      </c>
      <c r="K29" s="7">
        <f t="shared" si="2"/>
        <v>-737312.20588235324</v>
      </c>
      <c r="L29" s="46">
        <f t="shared" si="5"/>
        <v>0.75422926470588225</v>
      </c>
      <c r="M29" s="15">
        <f t="shared" si="3"/>
        <v>12399.527299999998</v>
      </c>
    </row>
    <row r="30" spans="3:13" x14ac:dyDescent="0.25">
      <c r="C30" s="2">
        <v>45948</v>
      </c>
      <c r="D30" s="3">
        <f>AVERAGE(G13:G30)</f>
        <v>74188.74611111109</v>
      </c>
      <c r="E30" s="3">
        <f t="shared" si="0"/>
        <v>2225662.3833333328</v>
      </c>
      <c r="F30" s="2">
        <v>45948</v>
      </c>
      <c r="G30" s="4">
        <f>'PRODUÇAO (OUT)'!Y42</f>
        <v>53207.680000000008</v>
      </c>
      <c r="H30" s="8">
        <f t="shared" si="4"/>
        <v>1335397.4299999997</v>
      </c>
      <c r="I30" s="6">
        <f t="shared" si="1"/>
        <v>0.44513247666666655</v>
      </c>
      <c r="J30" s="9">
        <f>H30/18*30</f>
        <v>2225662.3833333328</v>
      </c>
      <c r="K30" s="7">
        <f t="shared" si="2"/>
        <v>-774337.61666666716</v>
      </c>
      <c r="L30" s="46">
        <f t="shared" si="5"/>
        <v>0.74188746111111092</v>
      </c>
      <c r="M30" s="15">
        <f t="shared" si="3"/>
        <v>4575.8604800000003</v>
      </c>
    </row>
    <row r="31" spans="3:13" x14ac:dyDescent="0.25">
      <c r="C31" s="2">
        <v>45949</v>
      </c>
      <c r="D31" s="3">
        <f>AVERAGE(G13:G31)</f>
        <v>70284.07526315788</v>
      </c>
      <c r="E31" s="3">
        <f t="shared" si="0"/>
        <v>2108522.2578947362</v>
      </c>
      <c r="F31" s="2">
        <v>45949</v>
      </c>
      <c r="G31" s="4">
        <f>'PRODUÇAO (OUT)'!Z42</f>
        <v>0</v>
      </c>
      <c r="H31" s="8">
        <f t="shared" si="4"/>
        <v>1335397.4299999997</v>
      </c>
      <c r="I31" s="6">
        <f t="shared" si="1"/>
        <v>0.44513247666666655</v>
      </c>
      <c r="J31" s="9">
        <f>H31/19*30</f>
        <v>2108522.2578947362</v>
      </c>
      <c r="K31" s="7">
        <f t="shared" si="2"/>
        <v>-891477.74210526375</v>
      </c>
      <c r="L31" s="46">
        <f t="shared" si="5"/>
        <v>0.70284075263157875</v>
      </c>
      <c r="M31" s="15">
        <f t="shared" si="3"/>
        <v>0</v>
      </c>
    </row>
    <row r="32" spans="3:13" x14ac:dyDescent="0.25">
      <c r="C32" s="2">
        <v>45950</v>
      </c>
      <c r="D32" s="3">
        <f>AVERAGE(G13:G32)</f>
        <v>70062.357999999978</v>
      </c>
      <c r="E32" s="3">
        <f t="shared" si="0"/>
        <v>2101870.7399999993</v>
      </c>
      <c r="F32" s="2">
        <v>45950</v>
      </c>
      <c r="G32" s="4">
        <f>'PRODUÇAO (OUT)'!AA42</f>
        <v>65849.73</v>
      </c>
      <c r="H32" s="8">
        <f t="shared" si="4"/>
        <v>1401247.1599999997</v>
      </c>
      <c r="I32" s="6">
        <f t="shared" si="1"/>
        <v>0.46708238666666657</v>
      </c>
      <c r="J32" s="9">
        <f>H32/20*30</f>
        <v>2101870.7399999993</v>
      </c>
      <c r="K32" s="7">
        <f t="shared" si="2"/>
        <v>-898129.26000000071</v>
      </c>
      <c r="L32" s="46">
        <f t="shared" si="5"/>
        <v>0.7006235799999998</v>
      </c>
      <c r="M32" s="15">
        <f t="shared" si="3"/>
        <v>5663.0767799999994</v>
      </c>
    </row>
    <row r="33" spans="3:13" x14ac:dyDescent="0.25">
      <c r="C33" s="2">
        <v>45951</v>
      </c>
      <c r="D33" s="3">
        <f>AVERAGE(G13:G33)</f>
        <v>71540.574285714261</v>
      </c>
      <c r="E33" s="3">
        <f t="shared" si="0"/>
        <v>2146217.228571428</v>
      </c>
      <c r="F33" s="2">
        <v>45951</v>
      </c>
      <c r="G33" s="4">
        <f>'PRODUÇAO (OUT)'!AB42</f>
        <v>101104.9</v>
      </c>
      <c r="H33" s="8">
        <f t="shared" si="4"/>
        <v>1502352.0599999996</v>
      </c>
      <c r="I33" s="6">
        <f t="shared" si="1"/>
        <v>0.50078401999999989</v>
      </c>
      <c r="J33" s="9">
        <f>H33/21*30</f>
        <v>2146217.228571428</v>
      </c>
      <c r="K33" s="7">
        <f t="shared" si="2"/>
        <v>-853782.77142857201</v>
      </c>
      <c r="L33" s="46">
        <f t="shared" si="5"/>
        <v>0.71540574285714265</v>
      </c>
      <c r="M33" s="15">
        <f t="shared" si="3"/>
        <v>8695.0213999999996</v>
      </c>
    </row>
    <row r="34" spans="3:13" x14ac:dyDescent="0.25">
      <c r="C34" s="2">
        <v>45952</v>
      </c>
      <c r="D34" s="3">
        <f>AVERAGE(G13:G34)</f>
        <v>73322.386363636339</v>
      </c>
      <c r="E34" s="3">
        <f t="shared" si="0"/>
        <v>2199671.5909090904</v>
      </c>
      <c r="F34" s="2">
        <v>45952</v>
      </c>
      <c r="G34" s="4">
        <f>'PRODUÇAO (OUT)'!AC42</f>
        <v>110740.44</v>
      </c>
      <c r="H34" s="8">
        <f t="shared" si="4"/>
        <v>1613092.4999999995</v>
      </c>
      <c r="I34" s="6">
        <f t="shared" si="1"/>
        <v>0.53769749999999983</v>
      </c>
      <c r="J34" s="9">
        <f>H34/22*30</f>
        <v>2199671.5909090904</v>
      </c>
      <c r="K34" s="7">
        <f t="shared" si="2"/>
        <v>-800328.40909090964</v>
      </c>
      <c r="L34" s="46">
        <f t="shared" si="5"/>
        <v>0.73322386363636349</v>
      </c>
      <c r="M34" s="15">
        <f t="shared" si="3"/>
        <v>9523.6778400000003</v>
      </c>
    </row>
    <row r="35" spans="3:13" x14ac:dyDescent="0.25">
      <c r="C35" s="2">
        <v>45953</v>
      </c>
      <c r="D35" s="3">
        <f>AVERAGE(G13:G35)</f>
        <v>77407.960434782595</v>
      </c>
      <c r="E35" s="3">
        <f t="shared" si="0"/>
        <v>2322238.8130434779</v>
      </c>
      <c r="F35" s="2">
        <v>45953</v>
      </c>
      <c r="G35" s="4">
        <f>'PRODUÇAO (OUT)'!AD42</f>
        <v>167290.59</v>
      </c>
      <c r="H35" s="8">
        <f t="shared" si="4"/>
        <v>1780383.0899999996</v>
      </c>
      <c r="I35" s="6">
        <f t="shared" si="1"/>
        <v>0.59346102999999983</v>
      </c>
      <c r="J35" s="9">
        <f>H35/23*30</f>
        <v>2322238.8130434779</v>
      </c>
      <c r="K35" s="7">
        <f t="shared" si="2"/>
        <v>-677761.18695652205</v>
      </c>
      <c r="L35" s="46">
        <f t="shared" si="5"/>
        <v>0.77407960434782597</v>
      </c>
      <c r="M35" s="15">
        <f t="shared" si="3"/>
        <v>14386.990739999999</v>
      </c>
    </row>
    <row r="36" spans="3:13" x14ac:dyDescent="0.25">
      <c r="C36" s="2">
        <v>45954</v>
      </c>
      <c r="D36" s="3">
        <f>AVERAGE(G13:G36)</f>
        <v>79984.775416666656</v>
      </c>
      <c r="E36" s="3">
        <f t="shared" si="0"/>
        <v>2399543.2624999997</v>
      </c>
      <c r="F36" s="2">
        <v>45954</v>
      </c>
      <c r="G36" s="4">
        <f>'PRODUÇAO (OUT)'!AE42</f>
        <v>139251.51999999999</v>
      </c>
      <c r="H36" s="8">
        <f t="shared" si="4"/>
        <v>1919634.6099999996</v>
      </c>
      <c r="I36" s="6">
        <f t="shared" si="1"/>
        <v>0.63987820333333323</v>
      </c>
      <c r="J36" s="9">
        <f>H36/24*30</f>
        <v>2399543.2624999997</v>
      </c>
      <c r="K36" s="7">
        <f t="shared" si="2"/>
        <v>-600456.73750000028</v>
      </c>
      <c r="L36" s="46">
        <f t="shared" si="5"/>
        <v>0.79984775416666654</v>
      </c>
      <c r="M36" s="15">
        <f t="shared" si="3"/>
        <v>11975.630719999997</v>
      </c>
    </row>
    <row r="37" spans="3:13" x14ac:dyDescent="0.25">
      <c r="C37" s="2">
        <v>45955</v>
      </c>
      <c r="D37" s="3">
        <f>AVERAGE(G13:G37)</f>
        <v>78013.197999999989</v>
      </c>
      <c r="E37" s="3">
        <f t="shared" si="0"/>
        <v>2340395.9399999995</v>
      </c>
      <c r="F37" s="2">
        <v>45955</v>
      </c>
      <c r="G37" s="4">
        <f>'PRODUÇAO (OUT)'!AF42</f>
        <v>30695.34</v>
      </c>
      <c r="H37" s="8">
        <f t="shared" si="4"/>
        <v>1950329.9499999997</v>
      </c>
      <c r="I37" s="6">
        <f t="shared" si="1"/>
        <v>0.65010998333333325</v>
      </c>
      <c r="J37" s="9">
        <f>H37/25*30</f>
        <v>2340395.9399999995</v>
      </c>
      <c r="K37" s="7">
        <f t="shared" si="2"/>
        <v>-659604.06000000052</v>
      </c>
      <c r="L37" s="46">
        <f t="shared" si="5"/>
        <v>0.78013197999999984</v>
      </c>
      <c r="M37" s="15">
        <f t="shared" si="3"/>
        <v>2639.7992399999998</v>
      </c>
    </row>
    <row r="38" spans="3:13" x14ac:dyDescent="0.25">
      <c r="C38" s="2">
        <v>45956</v>
      </c>
      <c r="D38" s="3">
        <f>AVERAGE(G13:G38)</f>
        <v>76326.31</v>
      </c>
      <c r="E38" s="3">
        <f t="shared" si="0"/>
        <v>2289789.2999999998</v>
      </c>
      <c r="F38" s="2">
        <v>45956</v>
      </c>
      <c r="G38" s="4">
        <f>'PRODUÇAO (OUT)'!AG42</f>
        <v>34154.11</v>
      </c>
      <c r="H38" s="8">
        <f t="shared" si="4"/>
        <v>1984484.0599999998</v>
      </c>
      <c r="I38" s="6">
        <f t="shared" si="1"/>
        <v>0.66149468666666655</v>
      </c>
      <c r="J38" s="9">
        <f>H38/26*30</f>
        <v>2289789.2999999998</v>
      </c>
      <c r="K38" s="7">
        <f t="shared" si="2"/>
        <v>-710210.70000000019</v>
      </c>
      <c r="L38" s="46">
        <f t="shared" si="5"/>
        <v>0.76326309999999997</v>
      </c>
      <c r="M38" s="15">
        <f t="shared" si="3"/>
        <v>2937.2534599999999</v>
      </c>
    </row>
    <row r="39" spans="3:13" x14ac:dyDescent="0.25">
      <c r="C39" s="2">
        <v>45957</v>
      </c>
      <c r="D39" s="3">
        <f>AVERAGE(G13:G39)</f>
        <v>75542.878888888881</v>
      </c>
      <c r="E39" s="3">
        <f t="shared" si="0"/>
        <v>2266286.3666666662</v>
      </c>
      <c r="F39" s="2">
        <v>45957</v>
      </c>
      <c r="G39" s="4">
        <f>'PRODUÇAO (OUT)'!AH42</f>
        <v>55173.67</v>
      </c>
      <c r="H39" s="8">
        <f t="shared" si="4"/>
        <v>2039657.7299999997</v>
      </c>
      <c r="I39" s="6">
        <f t="shared" si="1"/>
        <v>0.67988590999999987</v>
      </c>
      <c r="J39" s="9">
        <f>H39/27*30</f>
        <v>2266286.3666666662</v>
      </c>
      <c r="K39" s="7">
        <f t="shared" si="2"/>
        <v>-733713.63333333377</v>
      </c>
      <c r="L39" s="46">
        <f t="shared" si="5"/>
        <v>0.75542878888888876</v>
      </c>
      <c r="M39" s="15">
        <f t="shared" si="3"/>
        <v>4744.9356199999993</v>
      </c>
    </row>
    <row r="40" spans="3:13" x14ac:dyDescent="0.25">
      <c r="C40" s="2">
        <v>45958</v>
      </c>
      <c r="D40" s="3">
        <f>AVERAGE(G13:G40)</f>
        <v>75788.102857142847</v>
      </c>
      <c r="E40" s="3">
        <f t="shared" si="0"/>
        <v>2273643.0857142853</v>
      </c>
      <c r="F40" s="2">
        <v>45958</v>
      </c>
      <c r="G40" s="4">
        <f>'PRODUÇAO (OUT)'!AI42</f>
        <v>82409.149999999994</v>
      </c>
      <c r="H40" s="8">
        <f t="shared" si="4"/>
        <v>2122066.88</v>
      </c>
      <c r="I40" s="6">
        <f t="shared" si="1"/>
        <v>0.70735562666666663</v>
      </c>
      <c r="J40" s="9">
        <f>H40/28*30</f>
        <v>2273643.0857142853</v>
      </c>
      <c r="K40" s="7">
        <f t="shared" si="2"/>
        <v>-726356.91428571474</v>
      </c>
      <c r="L40" s="46">
        <f t="shared" si="5"/>
        <v>0.75788102857142847</v>
      </c>
      <c r="M40" s="15">
        <f t="shared" si="3"/>
        <v>7087.1868999999988</v>
      </c>
    </row>
    <row r="41" spans="3:13" x14ac:dyDescent="0.25">
      <c r="C41" s="2">
        <v>45959</v>
      </c>
      <c r="D41" s="3">
        <f>AVERAGE(G13:G41)</f>
        <v>75066.715862068959</v>
      </c>
      <c r="E41" s="3">
        <f t="shared" si="0"/>
        <v>2252001.4758620686</v>
      </c>
      <c r="F41" s="2">
        <v>45959</v>
      </c>
      <c r="G41" s="4">
        <f>'PRODUÇAO (OUT)'!AJ42</f>
        <v>54867.88</v>
      </c>
      <c r="H41" s="8">
        <f t="shared" si="4"/>
        <v>2176934.7599999998</v>
      </c>
      <c r="I41" s="6">
        <f t="shared" si="1"/>
        <v>0.72564491999999992</v>
      </c>
      <c r="J41" s="9">
        <f>H41/29*30</f>
        <v>2252001.4758620686</v>
      </c>
      <c r="K41" s="7">
        <f t="shared" si="2"/>
        <v>-747998.52413793141</v>
      </c>
      <c r="L41" s="46">
        <f t="shared" si="5"/>
        <v>0.75066715862068956</v>
      </c>
      <c r="M41" s="15">
        <f t="shared" si="3"/>
        <v>4718.6376799999998</v>
      </c>
    </row>
    <row r="42" spans="3:13" x14ac:dyDescent="0.25">
      <c r="C42" s="2">
        <v>45960</v>
      </c>
      <c r="D42" s="3">
        <f>AVERAGE(G13:G42)</f>
        <v>74845.517666666667</v>
      </c>
      <c r="E42" s="3">
        <f t="shared" si="0"/>
        <v>2245365.5299999998</v>
      </c>
      <c r="F42" s="2">
        <v>45960</v>
      </c>
      <c r="G42" s="4">
        <f>'PRODUÇAO (OUT)'!AK42</f>
        <v>68430.76999999999</v>
      </c>
      <c r="H42" s="8">
        <f t="shared" si="4"/>
        <v>2245365.5299999998</v>
      </c>
      <c r="I42" s="6">
        <f t="shared" si="1"/>
        <v>0.74845517666666661</v>
      </c>
      <c r="J42" s="9">
        <f>H42/31*31</f>
        <v>2245365.5299999998</v>
      </c>
      <c r="K42" s="7">
        <f t="shared" si="2"/>
        <v>-754634.4700000002</v>
      </c>
      <c r="L42" s="46">
        <f t="shared" si="5"/>
        <v>0.74845517666666661</v>
      </c>
      <c r="M42" s="15">
        <f t="shared" si="3"/>
        <v>5885.0462199999984</v>
      </c>
    </row>
    <row r="43" spans="3:13" x14ac:dyDescent="0.25">
      <c r="C43" s="2">
        <v>45961</v>
      </c>
      <c r="D43" s="3">
        <f>AVERAGE(D13:D42)</f>
        <v>70916.79266583288</v>
      </c>
      <c r="E43" s="3">
        <f>D43*31</f>
        <v>2198420.5726408195</v>
      </c>
      <c r="F43" s="2">
        <v>45961</v>
      </c>
      <c r="G43" s="11">
        <f>'PRODUÇAO (OUT)'!AL42</f>
        <v>230981.27</v>
      </c>
      <c r="H43" s="65">
        <f t="shared" si="4"/>
        <v>2476346.7999999998</v>
      </c>
      <c r="I43" s="66">
        <f t="shared" si="1"/>
        <v>0.82544893333333325</v>
      </c>
      <c r="J43" s="64">
        <f>H43/30*30</f>
        <v>2476346.7999999998</v>
      </c>
      <c r="K43" s="7">
        <f t="shared" si="2"/>
        <v>-523653.20000000019</v>
      </c>
      <c r="L43" s="67">
        <f t="shared" si="5"/>
        <v>0.82544893333333325</v>
      </c>
      <c r="M43" s="15">
        <f t="shared" si="3"/>
        <v>19864.389219999997</v>
      </c>
    </row>
  </sheetData>
  <mergeCells count="1">
    <mergeCell ref="C4:K4"/>
  </mergeCells>
  <conditionalFormatting sqref="K1:K3 K6:K11 K44:K1048576">
    <cfRule type="cellIs" dxfId="15" priority="4" stopIfTrue="1" operator="greaterThan">
      <formula>100675.95</formula>
    </cfRule>
  </conditionalFormatting>
  <conditionalFormatting sqref="K13:K43">
    <cfRule type="cellIs" dxfId="14" priority="1" operator="lessThan">
      <formula>0</formula>
    </cfRule>
    <cfRule type="cellIs" dxfId="13" priority="2" operator="greaterThan">
      <formula>0</formula>
    </cfRule>
    <cfRule type="cellIs" dxfId="12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A845-22C8-42E0-8DE3-F5C831DF1831}">
  <dimension ref="A4:AT43"/>
  <sheetViews>
    <sheetView workbookViewId="0">
      <pane xSplit="1" topLeftCell="I1" activePane="topRight" state="frozen"/>
      <selection pane="topRight" activeCell="T17" sqref="T17"/>
    </sheetView>
  </sheetViews>
  <sheetFormatPr defaultRowHeight="15" x14ac:dyDescent="0.25"/>
  <cols>
    <col min="1" max="1" width="43" style="33" bestFit="1" customWidth="1"/>
    <col min="2" max="2" width="21.140625" style="33" bestFit="1" customWidth="1"/>
    <col min="3" max="3" width="15" style="33" bestFit="1" customWidth="1"/>
    <col min="4" max="4" width="0.5703125" style="33" hidden="1" customWidth="1"/>
    <col min="5" max="5" width="0.140625" style="33" hidden="1" customWidth="1"/>
    <col min="6" max="6" width="22.140625" style="34" hidden="1" customWidth="1"/>
    <col min="7" max="7" width="26.85546875" style="34" hidden="1" customWidth="1"/>
    <col min="8" max="8" width="14.5703125" bestFit="1" customWidth="1"/>
    <col min="9" max="10" width="15.28515625" bestFit="1" customWidth="1"/>
    <col min="11" max="11" width="14.5703125" bestFit="1" customWidth="1"/>
    <col min="12" max="12" width="15.7109375" bestFit="1" customWidth="1"/>
    <col min="13" max="16" width="14.5703125" bestFit="1" customWidth="1"/>
    <col min="17" max="17" width="15.7109375" bestFit="1" customWidth="1"/>
    <col min="18" max="18" width="14.5703125" bestFit="1" customWidth="1"/>
    <col min="19" max="21" width="15.7109375" bestFit="1" customWidth="1"/>
    <col min="22" max="23" width="14.5703125" bestFit="1" customWidth="1"/>
    <col min="24" max="26" width="15.7109375" bestFit="1" customWidth="1"/>
    <col min="27" max="27" width="14.5703125" bestFit="1" customWidth="1"/>
    <col min="28" max="31" width="15.7109375" bestFit="1" customWidth="1"/>
    <col min="32" max="32" width="14.5703125" bestFit="1" customWidth="1"/>
    <col min="33" max="33" width="15.7109375" bestFit="1" customWidth="1"/>
    <col min="34" max="35" width="14.5703125" bestFit="1" customWidth="1"/>
    <col min="36" max="37" width="15.7109375" bestFit="1" customWidth="1"/>
    <col min="38" max="38" width="15.7109375" customWidth="1"/>
    <col min="39" max="39" width="17.5703125" bestFit="1" customWidth="1"/>
    <col min="40" max="41" width="15.7109375" bestFit="1" customWidth="1"/>
  </cols>
  <sheetData>
    <row r="4" spans="1:46" ht="21" x14ac:dyDescent="0.35">
      <c r="A4" s="25" t="s">
        <v>18</v>
      </c>
      <c r="B4" s="25" t="s">
        <v>19</v>
      </c>
      <c r="C4" s="25" t="s">
        <v>20</v>
      </c>
      <c r="D4" s="25" t="s">
        <v>21</v>
      </c>
      <c r="E4" s="25" t="s">
        <v>22</v>
      </c>
      <c r="F4" s="25" t="s">
        <v>23</v>
      </c>
      <c r="G4" s="25" t="s">
        <v>24</v>
      </c>
      <c r="H4" s="36">
        <v>45931</v>
      </c>
      <c r="I4" s="36">
        <v>45932</v>
      </c>
      <c r="J4" s="36">
        <v>45933</v>
      </c>
      <c r="K4" s="36">
        <v>45934</v>
      </c>
      <c r="L4" s="36">
        <v>45935</v>
      </c>
      <c r="M4" s="36">
        <v>45936</v>
      </c>
      <c r="N4" s="36">
        <v>45937</v>
      </c>
      <c r="O4" s="36">
        <v>45938</v>
      </c>
      <c r="P4" s="36">
        <v>45939</v>
      </c>
      <c r="Q4" s="36">
        <v>45940</v>
      </c>
      <c r="R4" s="36">
        <v>45941</v>
      </c>
      <c r="S4" s="36">
        <v>45942</v>
      </c>
      <c r="T4" s="36">
        <v>45943</v>
      </c>
      <c r="U4" s="36">
        <v>45944</v>
      </c>
      <c r="V4" s="36">
        <v>45945</v>
      </c>
      <c r="W4" s="36">
        <v>45946</v>
      </c>
      <c r="X4" s="36">
        <v>45947</v>
      </c>
      <c r="Y4" s="36">
        <v>45948</v>
      </c>
      <c r="Z4" s="36">
        <v>45949</v>
      </c>
      <c r="AA4" s="36">
        <v>45950</v>
      </c>
      <c r="AB4" s="36">
        <v>45951</v>
      </c>
      <c r="AC4" s="36">
        <v>45952</v>
      </c>
      <c r="AD4" s="36">
        <v>45953</v>
      </c>
      <c r="AE4" s="36">
        <v>45954</v>
      </c>
      <c r="AF4" s="36">
        <v>45955</v>
      </c>
      <c r="AG4" s="36">
        <v>45956</v>
      </c>
      <c r="AH4" s="36">
        <v>45957</v>
      </c>
      <c r="AI4" s="36">
        <v>45958</v>
      </c>
      <c r="AJ4" s="36">
        <v>45959</v>
      </c>
      <c r="AK4" s="36">
        <v>45960</v>
      </c>
      <c r="AL4" s="36">
        <v>45961</v>
      </c>
      <c r="AM4" s="39" t="s">
        <v>13</v>
      </c>
      <c r="AN4" s="39" t="s">
        <v>209</v>
      </c>
      <c r="AO4" s="39" t="s">
        <v>210</v>
      </c>
      <c r="AP4" s="24" t="s">
        <v>9</v>
      </c>
      <c r="AQ4" s="24" t="s">
        <v>9</v>
      </c>
      <c r="AR4" s="24" t="s">
        <v>9</v>
      </c>
      <c r="AS4" s="24" t="s">
        <v>9</v>
      </c>
      <c r="AT4" s="24" t="s">
        <v>9</v>
      </c>
    </row>
    <row r="5" spans="1:46" ht="21" x14ac:dyDescent="0.35">
      <c r="A5" s="26" t="s">
        <v>32</v>
      </c>
      <c r="B5" s="27" t="s">
        <v>33</v>
      </c>
      <c r="C5" s="31" t="s">
        <v>135</v>
      </c>
      <c r="D5" s="27" t="s">
        <v>28</v>
      </c>
      <c r="E5" s="27" t="s">
        <v>29</v>
      </c>
      <c r="F5" s="27" t="s">
        <v>30</v>
      </c>
      <c r="G5" s="27" t="s">
        <v>31</v>
      </c>
      <c r="H5" s="56">
        <v>0</v>
      </c>
      <c r="I5" s="56">
        <v>0</v>
      </c>
      <c r="J5" s="56">
        <v>0</v>
      </c>
      <c r="K5" s="56">
        <v>0</v>
      </c>
      <c r="L5" s="56">
        <v>0</v>
      </c>
      <c r="M5" s="56">
        <v>0</v>
      </c>
      <c r="N5" s="56">
        <v>0</v>
      </c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</v>
      </c>
      <c r="U5" s="56">
        <v>36100</v>
      </c>
      <c r="V5" s="56">
        <v>0</v>
      </c>
      <c r="W5" s="62">
        <v>0</v>
      </c>
      <c r="X5" s="62">
        <v>0</v>
      </c>
      <c r="Y5" s="62">
        <v>0</v>
      </c>
      <c r="Z5" s="62">
        <v>0</v>
      </c>
      <c r="AA5" s="62">
        <v>0</v>
      </c>
      <c r="AB5" s="62">
        <v>0</v>
      </c>
      <c r="AC5" s="62">
        <v>0</v>
      </c>
      <c r="AD5" s="62">
        <v>0</v>
      </c>
      <c r="AE5" s="56">
        <v>16000</v>
      </c>
      <c r="AF5" s="56">
        <v>0</v>
      </c>
      <c r="AG5" s="56">
        <v>0</v>
      </c>
      <c r="AH5" s="56">
        <v>0</v>
      </c>
      <c r="AI5" s="62">
        <v>0</v>
      </c>
      <c r="AJ5" s="56">
        <v>12000</v>
      </c>
      <c r="AK5" s="56">
        <v>0</v>
      </c>
      <c r="AL5" s="56">
        <v>0</v>
      </c>
      <c r="AM5" s="40">
        <f>SUM(H5:AL5)</f>
        <v>64100</v>
      </c>
      <c r="AN5" s="40">
        <f>AVERAGE(H5:AK5)</f>
        <v>2136.6666666666665</v>
      </c>
      <c r="AO5" s="40">
        <f>AM5*8.5%</f>
        <v>5448.5</v>
      </c>
    </row>
    <row r="6" spans="1:46" ht="21" x14ac:dyDescent="0.35">
      <c r="A6" s="26" t="s">
        <v>38</v>
      </c>
      <c r="B6" s="27" t="s">
        <v>39</v>
      </c>
      <c r="C6" s="28" t="s">
        <v>34</v>
      </c>
      <c r="D6" s="27" t="s">
        <v>35</v>
      </c>
      <c r="E6" s="27" t="s">
        <v>36</v>
      </c>
      <c r="F6" s="27" t="s">
        <v>37</v>
      </c>
      <c r="G6" s="27" t="s">
        <v>31</v>
      </c>
      <c r="H6" s="56">
        <v>0</v>
      </c>
      <c r="I6" s="56">
        <v>0</v>
      </c>
      <c r="J6" s="54">
        <v>0</v>
      </c>
      <c r="K6" s="54">
        <v>0</v>
      </c>
      <c r="L6" s="54">
        <v>0</v>
      </c>
      <c r="M6" s="56">
        <v>31281.1</v>
      </c>
      <c r="N6" s="56">
        <v>0</v>
      </c>
      <c r="O6" s="56">
        <v>0</v>
      </c>
      <c r="P6" s="56">
        <v>0</v>
      </c>
      <c r="Q6" s="56">
        <v>0</v>
      </c>
      <c r="R6" s="54">
        <v>0</v>
      </c>
      <c r="S6" s="54">
        <v>0</v>
      </c>
      <c r="T6" s="54">
        <v>0</v>
      </c>
      <c r="U6" s="54">
        <v>0</v>
      </c>
      <c r="V6" s="54">
        <v>0</v>
      </c>
      <c r="W6" s="54">
        <v>0</v>
      </c>
      <c r="X6" s="54">
        <v>0</v>
      </c>
      <c r="Y6" s="54">
        <v>0</v>
      </c>
      <c r="Z6" s="54">
        <v>0</v>
      </c>
      <c r="AA6" s="54">
        <v>0</v>
      </c>
      <c r="AB6" s="54">
        <v>0</v>
      </c>
      <c r="AC6" s="56">
        <v>0</v>
      </c>
      <c r="AD6" s="62">
        <v>0</v>
      </c>
      <c r="AE6" s="62">
        <v>0</v>
      </c>
      <c r="AF6" s="62">
        <v>0</v>
      </c>
      <c r="AG6" s="62">
        <v>0</v>
      </c>
      <c r="AH6" s="62">
        <v>0</v>
      </c>
      <c r="AI6" s="56">
        <v>27522.15</v>
      </c>
      <c r="AJ6" s="56">
        <v>0</v>
      </c>
      <c r="AK6" s="56">
        <v>0</v>
      </c>
      <c r="AL6" s="56">
        <v>0</v>
      </c>
      <c r="AM6" s="40">
        <f t="shared" ref="AM6:AM42" si="0">SUM(H6:AL6)</f>
        <v>58803.25</v>
      </c>
      <c r="AN6" s="40">
        <f t="shared" ref="AN6:AN41" si="1">AVERAGE(H6:AK6)</f>
        <v>1960.1083333333333</v>
      </c>
      <c r="AO6" s="40">
        <f t="shared" ref="AO6:AO41" si="2">AM6*8.5%</f>
        <v>4998.2762500000008</v>
      </c>
    </row>
    <row r="7" spans="1:46" ht="21" x14ac:dyDescent="0.35">
      <c r="A7" s="26" t="s">
        <v>218</v>
      </c>
      <c r="B7" s="27" t="s">
        <v>134</v>
      </c>
      <c r="C7" s="28" t="s">
        <v>176</v>
      </c>
      <c r="D7" s="29" t="s">
        <v>41</v>
      </c>
      <c r="E7" s="29" t="s">
        <v>42</v>
      </c>
      <c r="F7" s="29" t="s">
        <v>43</v>
      </c>
      <c r="G7" s="29" t="s">
        <v>31</v>
      </c>
      <c r="H7" s="56">
        <v>0</v>
      </c>
      <c r="I7" s="56">
        <v>0</v>
      </c>
      <c r="J7" s="56">
        <v>0</v>
      </c>
      <c r="K7" s="56">
        <v>0</v>
      </c>
      <c r="L7" s="56">
        <v>0</v>
      </c>
      <c r="M7" s="56">
        <v>0</v>
      </c>
      <c r="N7" s="56">
        <v>5199.3100000000004</v>
      </c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6694.31</v>
      </c>
      <c r="U7" s="56">
        <v>0</v>
      </c>
      <c r="V7" s="56">
        <v>6726.87</v>
      </c>
      <c r="W7" s="56">
        <v>0</v>
      </c>
      <c r="X7" s="56">
        <v>0</v>
      </c>
      <c r="Y7" s="56">
        <v>0</v>
      </c>
      <c r="Z7" s="56">
        <v>0</v>
      </c>
      <c r="AA7" s="56">
        <v>6694.31</v>
      </c>
      <c r="AB7" s="56">
        <v>0</v>
      </c>
      <c r="AC7" s="56">
        <v>0</v>
      </c>
      <c r="AD7" s="56">
        <v>6726.87</v>
      </c>
      <c r="AE7" s="56">
        <v>0</v>
      </c>
      <c r="AF7" s="56">
        <v>0</v>
      </c>
      <c r="AG7" s="56">
        <v>0</v>
      </c>
      <c r="AH7" s="56">
        <v>0</v>
      </c>
      <c r="AI7" s="56">
        <v>6875</v>
      </c>
      <c r="AJ7" s="56">
        <v>0</v>
      </c>
      <c r="AK7" s="56">
        <v>6666.67</v>
      </c>
      <c r="AL7" s="56">
        <v>0</v>
      </c>
      <c r="AM7" s="40">
        <f t="shared" si="0"/>
        <v>45583.34</v>
      </c>
      <c r="AN7" s="40">
        <f t="shared" si="1"/>
        <v>1519.4446666666665</v>
      </c>
      <c r="AO7" s="40">
        <f t="shared" si="2"/>
        <v>3874.5839000000001</v>
      </c>
    </row>
    <row r="8" spans="1:46" ht="21" x14ac:dyDescent="0.35">
      <c r="A8" s="26" t="s">
        <v>162</v>
      </c>
      <c r="B8" s="27" t="s">
        <v>163</v>
      </c>
      <c r="C8" s="28" t="s">
        <v>164</v>
      </c>
      <c r="D8" s="27" t="s">
        <v>47</v>
      </c>
      <c r="E8" s="27" t="s">
        <v>48</v>
      </c>
      <c r="F8" s="27" t="s">
        <v>49</v>
      </c>
      <c r="G8" s="27" t="s">
        <v>31</v>
      </c>
      <c r="H8" s="56">
        <v>0</v>
      </c>
      <c r="I8" s="56">
        <v>0</v>
      </c>
      <c r="J8" s="56">
        <v>0</v>
      </c>
      <c r="K8" s="56">
        <v>0</v>
      </c>
      <c r="L8" s="56">
        <v>0</v>
      </c>
      <c r="M8" s="56">
        <v>0</v>
      </c>
      <c r="N8" s="56">
        <v>0</v>
      </c>
      <c r="O8" s="56">
        <v>23072</v>
      </c>
      <c r="P8" s="56">
        <v>0</v>
      </c>
      <c r="Q8" s="56">
        <v>0</v>
      </c>
      <c r="R8" s="56">
        <v>0</v>
      </c>
      <c r="S8" s="56">
        <v>0</v>
      </c>
      <c r="T8" s="56">
        <v>0</v>
      </c>
      <c r="U8" s="56">
        <v>6694.31</v>
      </c>
      <c r="V8" s="56">
        <v>6726.87</v>
      </c>
      <c r="W8" s="56">
        <v>0</v>
      </c>
      <c r="X8" s="56">
        <v>0</v>
      </c>
      <c r="Y8" s="56">
        <v>0</v>
      </c>
      <c r="Z8" s="56">
        <v>0</v>
      </c>
      <c r="AA8" s="56">
        <v>6694.31</v>
      </c>
      <c r="AB8" s="56">
        <v>0</v>
      </c>
      <c r="AC8" s="56">
        <v>6726.87</v>
      </c>
      <c r="AD8" s="56">
        <v>0</v>
      </c>
      <c r="AE8" s="56">
        <v>32960</v>
      </c>
      <c r="AF8" s="56">
        <v>0</v>
      </c>
      <c r="AG8" s="56">
        <v>0</v>
      </c>
      <c r="AH8" s="56">
        <v>0</v>
      </c>
      <c r="AI8" s="56">
        <v>0</v>
      </c>
      <c r="AJ8" s="56">
        <v>0</v>
      </c>
      <c r="AK8" s="56">
        <v>0</v>
      </c>
      <c r="AL8" s="56">
        <v>18180</v>
      </c>
      <c r="AM8" s="40">
        <f t="shared" si="0"/>
        <v>101054.36</v>
      </c>
      <c r="AN8" s="40">
        <f t="shared" si="1"/>
        <v>2762.4786666666669</v>
      </c>
      <c r="AO8" s="40">
        <f t="shared" si="2"/>
        <v>8589.6206000000002</v>
      </c>
    </row>
    <row r="9" spans="1:46" ht="21" x14ac:dyDescent="0.35">
      <c r="A9" s="26" t="s">
        <v>139</v>
      </c>
      <c r="B9" s="27" t="s">
        <v>140</v>
      </c>
      <c r="C9" s="28" t="s">
        <v>141</v>
      </c>
      <c r="D9" s="27" t="s">
        <v>53</v>
      </c>
      <c r="E9" s="27" t="s">
        <v>54</v>
      </c>
      <c r="F9" s="29" t="s">
        <v>55</v>
      </c>
      <c r="G9" s="29" t="s">
        <v>31</v>
      </c>
      <c r="H9" s="56">
        <v>6328.57</v>
      </c>
      <c r="I9" s="56">
        <v>0</v>
      </c>
      <c r="J9" s="56">
        <v>0</v>
      </c>
      <c r="K9" s="56">
        <v>0</v>
      </c>
      <c r="L9" s="56">
        <v>0</v>
      </c>
      <c r="M9" s="56">
        <v>0</v>
      </c>
      <c r="N9" s="56">
        <v>0</v>
      </c>
      <c r="O9" s="56">
        <v>6694.31</v>
      </c>
      <c r="P9" s="56">
        <v>6726.87</v>
      </c>
      <c r="Q9" s="56">
        <v>0</v>
      </c>
      <c r="R9" s="56">
        <v>6694.31</v>
      </c>
      <c r="S9" s="56">
        <v>0</v>
      </c>
      <c r="T9" s="56">
        <v>0</v>
      </c>
      <c r="U9" s="56">
        <v>6726.86</v>
      </c>
      <c r="V9" s="56">
        <v>0</v>
      </c>
      <c r="W9" s="56">
        <v>6694.31</v>
      </c>
      <c r="X9" s="56">
        <v>6726.86</v>
      </c>
      <c r="Y9" s="56">
        <v>0</v>
      </c>
      <c r="Z9" s="56">
        <v>0</v>
      </c>
      <c r="AA9" s="56">
        <v>0</v>
      </c>
      <c r="AB9" s="56">
        <v>0</v>
      </c>
      <c r="AC9" s="56">
        <v>32960</v>
      </c>
      <c r="AD9" s="56">
        <v>0</v>
      </c>
      <c r="AE9" s="56">
        <v>0</v>
      </c>
      <c r="AF9" s="56">
        <v>0</v>
      </c>
      <c r="AG9" s="56">
        <v>0</v>
      </c>
      <c r="AH9" s="56">
        <v>0</v>
      </c>
      <c r="AI9" s="56">
        <v>0</v>
      </c>
      <c r="AJ9" s="56">
        <v>0</v>
      </c>
      <c r="AK9" s="56">
        <v>18180</v>
      </c>
      <c r="AL9" s="56">
        <v>0</v>
      </c>
      <c r="AM9" s="40">
        <f t="shared" si="0"/>
        <v>97732.09</v>
      </c>
      <c r="AN9" s="40">
        <f t="shared" si="1"/>
        <v>3257.7363333333333</v>
      </c>
      <c r="AO9" s="40">
        <f t="shared" si="2"/>
        <v>8307.2276500000007</v>
      </c>
    </row>
    <row r="10" spans="1:46" ht="21" x14ac:dyDescent="0.35">
      <c r="A10" s="27" t="s">
        <v>62</v>
      </c>
      <c r="B10" s="27" t="s">
        <v>63</v>
      </c>
      <c r="C10" s="28" t="s">
        <v>70</v>
      </c>
      <c r="D10" s="29" t="s">
        <v>59</v>
      </c>
      <c r="E10" s="29" t="s">
        <v>60</v>
      </c>
      <c r="F10" s="29" t="s">
        <v>61</v>
      </c>
      <c r="G10" s="29" t="s">
        <v>31</v>
      </c>
      <c r="H10" s="56">
        <v>20160</v>
      </c>
      <c r="I10" s="56">
        <v>0</v>
      </c>
      <c r="J10" s="56">
        <v>0</v>
      </c>
      <c r="K10" s="56">
        <v>0</v>
      </c>
      <c r="L10" s="56">
        <v>0</v>
      </c>
      <c r="M10" s="56">
        <v>0</v>
      </c>
      <c r="N10" s="56">
        <v>0</v>
      </c>
      <c r="O10" s="56">
        <v>0</v>
      </c>
      <c r="P10" s="56">
        <v>0</v>
      </c>
      <c r="Q10" s="56">
        <v>24000</v>
      </c>
      <c r="R10" s="56">
        <v>0</v>
      </c>
      <c r="S10" s="56">
        <v>0</v>
      </c>
      <c r="T10" s="56">
        <v>0</v>
      </c>
      <c r="U10" s="56">
        <v>0</v>
      </c>
      <c r="V10" s="56">
        <v>0</v>
      </c>
      <c r="W10" s="56">
        <v>0</v>
      </c>
      <c r="X10" s="56">
        <v>0</v>
      </c>
      <c r="Y10" s="56">
        <v>0</v>
      </c>
      <c r="Z10" s="56">
        <v>0</v>
      </c>
      <c r="AA10" s="56">
        <v>31373.8</v>
      </c>
      <c r="AB10" s="56">
        <v>0</v>
      </c>
      <c r="AC10" s="56">
        <v>0</v>
      </c>
      <c r="AD10" s="56">
        <v>0</v>
      </c>
      <c r="AE10" s="56">
        <v>0</v>
      </c>
      <c r="AF10" s="56">
        <v>25600</v>
      </c>
      <c r="AG10" s="56">
        <v>0</v>
      </c>
      <c r="AH10" s="56">
        <v>0</v>
      </c>
      <c r="AI10" s="56">
        <v>0</v>
      </c>
      <c r="AJ10" s="56">
        <v>0</v>
      </c>
      <c r="AK10" s="56">
        <v>0</v>
      </c>
      <c r="AL10" s="56">
        <v>0</v>
      </c>
      <c r="AM10" s="40">
        <f t="shared" si="0"/>
        <v>101133.8</v>
      </c>
      <c r="AN10" s="40">
        <f t="shared" si="1"/>
        <v>3371.1266666666666</v>
      </c>
      <c r="AO10" s="40">
        <f t="shared" si="2"/>
        <v>8596.3730000000014</v>
      </c>
    </row>
    <row r="11" spans="1:46" ht="21" x14ac:dyDescent="0.35">
      <c r="A11" s="26" t="s">
        <v>86</v>
      </c>
      <c r="B11" s="27" t="s">
        <v>87</v>
      </c>
      <c r="C11" s="28" t="s">
        <v>217</v>
      </c>
      <c r="D11" s="27" t="s">
        <v>65</v>
      </c>
      <c r="E11" s="27" t="s">
        <v>66</v>
      </c>
      <c r="F11" s="27" t="s">
        <v>67</v>
      </c>
      <c r="G11" s="27" t="s">
        <v>31</v>
      </c>
      <c r="H11" s="56">
        <v>0</v>
      </c>
      <c r="I11" s="56">
        <v>0</v>
      </c>
      <c r="J11" s="56">
        <v>0</v>
      </c>
      <c r="K11" s="56">
        <v>0</v>
      </c>
      <c r="L11" s="56">
        <v>0</v>
      </c>
      <c r="M11" s="56">
        <v>0</v>
      </c>
      <c r="N11" s="56">
        <v>0</v>
      </c>
      <c r="O11" s="56">
        <v>0</v>
      </c>
      <c r="P11" s="56">
        <v>0</v>
      </c>
      <c r="Q11" s="56">
        <v>24000</v>
      </c>
      <c r="R11" s="56">
        <v>0</v>
      </c>
      <c r="S11" s="56">
        <v>0</v>
      </c>
      <c r="T11" s="56">
        <v>0</v>
      </c>
      <c r="U11" s="56">
        <v>0</v>
      </c>
      <c r="V11" s="56">
        <v>0</v>
      </c>
      <c r="W11" s="56">
        <v>0</v>
      </c>
      <c r="X11" s="56">
        <v>31425.31</v>
      </c>
      <c r="Y11" s="56">
        <v>0</v>
      </c>
      <c r="Z11" s="56">
        <v>0</v>
      </c>
      <c r="AA11" s="56">
        <v>0</v>
      </c>
      <c r="AB11" s="56">
        <v>0</v>
      </c>
      <c r="AC11" s="56">
        <v>0</v>
      </c>
      <c r="AD11" s="56">
        <v>0</v>
      </c>
      <c r="AE11" s="56">
        <v>0</v>
      </c>
      <c r="AF11" s="56">
        <v>0</v>
      </c>
      <c r="AG11" s="56">
        <v>0</v>
      </c>
      <c r="AH11" s="56">
        <v>0</v>
      </c>
      <c r="AI11" s="56">
        <v>0</v>
      </c>
      <c r="AJ11" s="56">
        <v>24000</v>
      </c>
      <c r="AK11" s="56">
        <v>0</v>
      </c>
      <c r="AL11" s="56">
        <v>0</v>
      </c>
      <c r="AM11" s="40">
        <f t="shared" si="0"/>
        <v>79425.31</v>
      </c>
      <c r="AN11" s="40">
        <f t="shared" si="1"/>
        <v>2647.5103333333332</v>
      </c>
      <c r="AO11" s="40">
        <f t="shared" si="2"/>
        <v>6751.1513500000001</v>
      </c>
    </row>
    <row r="12" spans="1:46" ht="21" x14ac:dyDescent="0.35">
      <c r="A12" s="26" t="s">
        <v>203</v>
      </c>
      <c r="B12" s="27" t="s">
        <v>204</v>
      </c>
      <c r="C12" s="28" t="s">
        <v>216</v>
      </c>
      <c r="D12" s="29" t="s">
        <v>71</v>
      </c>
      <c r="E12" s="29" t="s">
        <v>72</v>
      </c>
      <c r="F12" s="27" t="s">
        <v>73</v>
      </c>
      <c r="G12" s="27" t="s">
        <v>31</v>
      </c>
      <c r="H12" s="56">
        <v>0</v>
      </c>
      <c r="I12" s="56">
        <v>6994.31</v>
      </c>
      <c r="J12" s="56">
        <v>0</v>
      </c>
      <c r="K12" s="56">
        <v>0</v>
      </c>
      <c r="L12" s="56">
        <v>0</v>
      </c>
      <c r="M12" s="56">
        <v>6994.31</v>
      </c>
      <c r="N12" s="54">
        <v>0</v>
      </c>
      <c r="O12" s="54">
        <v>0</v>
      </c>
      <c r="P12" s="54">
        <v>6726.87</v>
      </c>
      <c r="Q12" s="54">
        <v>0</v>
      </c>
      <c r="R12" s="54">
        <v>6694.31</v>
      </c>
      <c r="S12" s="54">
        <v>0</v>
      </c>
      <c r="T12" s="56">
        <v>6726.88</v>
      </c>
      <c r="U12" s="56">
        <v>0</v>
      </c>
      <c r="V12" s="56">
        <v>6694.31</v>
      </c>
      <c r="W12" s="56">
        <v>0</v>
      </c>
      <c r="X12" s="56">
        <v>6726.87</v>
      </c>
      <c r="Y12" s="56">
        <v>0</v>
      </c>
      <c r="Z12" s="56">
        <v>0</v>
      </c>
      <c r="AA12" s="56">
        <v>6694.31</v>
      </c>
      <c r="AB12" s="56">
        <v>6726.87</v>
      </c>
      <c r="AC12" s="56">
        <v>0</v>
      </c>
      <c r="AD12" s="56">
        <v>0</v>
      </c>
      <c r="AE12" s="56">
        <v>6875</v>
      </c>
      <c r="AF12" s="56">
        <v>0</v>
      </c>
      <c r="AG12" s="56">
        <v>0</v>
      </c>
      <c r="AH12" s="56">
        <v>6666.67</v>
      </c>
      <c r="AI12" s="56">
        <v>0</v>
      </c>
      <c r="AJ12" s="56">
        <v>6875</v>
      </c>
      <c r="AK12" s="56">
        <v>0</v>
      </c>
      <c r="AL12" s="56">
        <v>6666.67</v>
      </c>
      <c r="AM12" s="40">
        <f t="shared" si="0"/>
        <v>88062.38</v>
      </c>
      <c r="AN12" s="40">
        <f t="shared" si="1"/>
        <v>2713.1903333333335</v>
      </c>
      <c r="AO12" s="40">
        <f t="shared" si="2"/>
        <v>7485.3023000000012</v>
      </c>
    </row>
    <row r="13" spans="1:46" ht="21" x14ac:dyDescent="0.35">
      <c r="A13" s="59" t="s">
        <v>44</v>
      </c>
      <c r="B13" s="27" t="s">
        <v>45</v>
      </c>
      <c r="C13" s="28"/>
      <c r="D13" s="29" t="s">
        <v>77</v>
      </c>
      <c r="E13" s="29" t="s">
        <v>78</v>
      </c>
      <c r="F13" s="27" t="s">
        <v>79</v>
      </c>
      <c r="G13" s="27" t="s">
        <v>31</v>
      </c>
      <c r="H13" s="56">
        <v>0</v>
      </c>
      <c r="I13" s="56">
        <v>0</v>
      </c>
      <c r="J13" s="56">
        <v>0</v>
      </c>
      <c r="K13" s="56">
        <v>6726.88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5">
        <v>0</v>
      </c>
      <c r="AE13" s="55">
        <v>0</v>
      </c>
      <c r="AF13" s="55">
        <v>0</v>
      </c>
      <c r="AG13" s="55">
        <v>0</v>
      </c>
      <c r="AH13" s="55">
        <v>0</v>
      </c>
      <c r="AI13" s="55">
        <v>0</v>
      </c>
      <c r="AJ13" s="55">
        <v>0</v>
      </c>
      <c r="AK13" s="55">
        <v>0</v>
      </c>
      <c r="AL13" s="55">
        <v>0</v>
      </c>
      <c r="AM13" s="40">
        <f t="shared" si="0"/>
        <v>6726.88</v>
      </c>
      <c r="AN13" s="40">
        <f t="shared" si="1"/>
        <v>224.22933333333333</v>
      </c>
      <c r="AO13" s="40">
        <f t="shared" si="2"/>
        <v>571.78480000000002</v>
      </c>
    </row>
    <row r="14" spans="1:46" ht="21" x14ac:dyDescent="0.35">
      <c r="A14" s="26" t="s">
        <v>25</v>
      </c>
      <c r="B14" s="27" t="s">
        <v>26</v>
      </c>
      <c r="C14" s="28" t="s">
        <v>27</v>
      </c>
      <c r="D14" s="29" t="s">
        <v>83</v>
      </c>
      <c r="E14" s="29" t="s">
        <v>84</v>
      </c>
      <c r="F14" s="29" t="s">
        <v>85</v>
      </c>
      <c r="G14" s="27" t="s">
        <v>31</v>
      </c>
      <c r="H14" s="56">
        <v>0</v>
      </c>
      <c r="I14" s="56">
        <v>0</v>
      </c>
      <c r="J14" s="56">
        <v>0</v>
      </c>
      <c r="K14" s="56">
        <v>24000</v>
      </c>
      <c r="L14" s="56">
        <v>0</v>
      </c>
      <c r="M14" s="56">
        <v>0</v>
      </c>
      <c r="N14" s="56">
        <v>0</v>
      </c>
      <c r="O14" s="56">
        <v>0</v>
      </c>
      <c r="P14" s="56">
        <v>0</v>
      </c>
      <c r="Q14" s="56">
        <v>31301.7</v>
      </c>
      <c r="R14" s="56">
        <v>0</v>
      </c>
      <c r="S14" s="56">
        <v>0</v>
      </c>
      <c r="T14" s="56">
        <v>0</v>
      </c>
      <c r="U14" s="56">
        <v>0</v>
      </c>
      <c r="V14" s="56">
        <v>0</v>
      </c>
      <c r="W14" s="56">
        <v>0</v>
      </c>
      <c r="X14" s="56">
        <v>0</v>
      </c>
      <c r="Y14" s="56">
        <v>12500</v>
      </c>
      <c r="Z14" s="56">
        <v>0</v>
      </c>
      <c r="AA14" s="56">
        <v>0</v>
      </c>
      <c r="AB14" s="56">
        <v>0</v>
      </c>
      <c r="AC14" s="56">
        <v>0</v>
      </c>
      <c r="AD14" s="56">
        <v>0</v>
      </c>
      <c r="AE14" s="56">
        <v>0</v>
      </c>
      <c r="AF14" s="56">
        <v>0</v>
      </c>
      <c r="AG14" s="56">
        <v>0</v>
      </c>
      <c r="AH14" s="56">
        <v>23900</v>
      </c>
      <c r="AI14" s="56">
        <v>0</v>
      </c>
      <c r="AJ14" s="56">
        <v>0</v>
      </c>
      <c r="AK14" s="56">
        <v>0</v>
      </c>
      <c r="AL14" s="56">
        <v>0</v>
      </c>
      <c r="AM14" s="40">
        <f t="shared" si="0"/>
        <v>91701.7</v>
      </c>
      <c r="AN14" s="40">
        <f t="shared" si="1"/>
        <v>3056.7233333333334</v>
      </c>
      <c r="AO14" s="40">
        <f t="shared" si="2"/>
        <v>7794.6445000000003</v>
      </c>
    </row>
    <row r="15" spans="1:46" ht="21" x14ac:dyDescent="0.35">
      <c r="A15" s="26" t="s">
        <v>220</v>
      </c>
      <c r="B15" s="27" t="s">
        <v>221</v>
      </c>
      <c r="C15" s="31" t="s">
        <v>200</v>
      </c>
      <c r="D15" s="29" t="s">
        <v>89</v>
      </c>
      <c r="E15" s="27" t="s">
        <v>90</v>
      </c>
      <c r="F15" s="27" t="s">
        <v>91</v>
      </c>
      <c r="G15" s="27" t="s">
        <v>31</v>
      </c>
      <c r="H15" s="56">
        <v>4817.88</v>
      </c>
      <c r="I15" s="56">
        <v>0</v>
      </c>
      <c r="J15" s="56">
        <v>0</v>
      </c>
      <c r="K15" s="56">
        <v>0</v>
      </c>
      <c r="L15" s="56">
        <v>0</v>
      </c>
      <c r="M15" s="56">
        <v>0</v>
      </c>
      <c r="N15" s="56">
        <v>5096.17</v>
      </c>
      <c r="O15" s="56">
        <v>0</v>
      </c>
      <c r="P15" s="56">
        <v>5117.88</v>
      </c>
      <c r="Q15" s="56">
        <v>0</v>
      </c>
      <c r="R15" s="56">
        <v>0</v>
      </c>
      <c r="S15" s="56">
        <v>0</v>
      </c>
      <c r="T15" s="56">
        <v>0</v>
      </c>
      <c r="U15" s="56">
        <v>0</v>
      </c>
      <c r="V15" s="56">
        <v>0</v>
      </c>
      <c r="W15" s="56">
        <v>5096.17</v>
      </c>
      <c r="X15" s="56">
        <v>0</v>
      </c>
      <c r="Y15" s="56">
        <v>5117.88</v>
      </c>
      <c r="Z15" s="56">
        <v>0</v>
      </c>
      <c r="AA15" s="56">
        <v>0</v>
      </c>
      <c r="AB15" s="56">
        <v>0</v>
      </c>
      <c r="AC15" s="54">
        <v>0</v>
      </c>
      <c r="AD15" s="54">
        <v>0</v>
      </c>
      <c r="AE15" s="56">
        <v>0</v>
      </c>
      <c r="AF15" s="56">
        <v>5095.34</v>
      </c>
      <c r="AG15" s="56">
        <v>0</v>
      </c>
      <c r="AH15" s="56">
        <v>0</v>
      </c>
      <c r="AI15" s="56">
        <v>0</v>
      </c>
      <c r="AJ15" s="56">
        <v>5117.88</v>
      </c>
      <c r="AK15" s="56">
        <v>0</v>
      </c>
      <c r="AL15" s="56">
        <v>0</v>
      </c>
      <c r="AM15" s="40">
        <f t="shared" si="0"/>
        <v>35459.199999999997</v>
      </c>
      <c r="AN15" s="40">
        <f t="shared" si="1"/>
        <v>1181.9733333333331</v>
      </c>
      <c r="AO15" s="40">
        <f t="shared" si="2"/>
        <v>3014.0320000000002</v>
      </c>
    </row>
    <row r="16" spans="1:46" ht="21" x14ac:dyDescent="0.35">
      <c r="A16" s="58" t="s">
        <v>98</v>
      </c>
      <c r="B16" s="29" t="s">
        <v>99</v>
      </c>
      <c r="C16" s="60"/>
      <c r="D16" s="29" t="s">
        <v>95</v>
      </c>
      <c r="E16" s="29" t="s">
        <v>96</v>
      </c>
      <c r="F16" s="27" t="s">
        <v>97</v>
      </c>
      <c r="G16" s="32" t="s">
        <v>31</v>
      </c>
      <c r="H16" s="56">
        <v>0</v>
      </c>
      <c r="I16" s="56">
        <v>0</v>
      </c>
      <c r="J16" s="56">
        <v>0</v>
      </c>
      <c r="K16" s="56">
        <v>16000</v>
      </c>
      <c r="L16" s="56">
        <v>0</v>
      </c>
      <c r="M16" s="56">
        <v>0</v>
      </c>
      <c r="N16" s="56">
        <v>0</v>
      </c>
      <c r="O16" s="56">
        <v>0</v>
      </c>
      <c r="P16" s="56">
        <v>16000</v>
      </c>
      <c r="Q16" s="56">
        <v>0</v>
      </c>
      <c r="R16" s="56">
        <v>0</v>
      </c>
      <c r="S16" s="56">
        <v>0</v>
      </c>
      <c r="T16" s="56">
        <v>16000</v>
      </c>
      <c r="U16" s="56">
        <v>0</v>
      </c>
      <c r="V16" s="56">
        <v>0</v>
      </c>
      <c r="W16" s="56">
        <v>0</v>
      </c>
      <c r="X16" s="56">
        <v>0</v>
      </c>
      <c r="Y16" s="56">
        <v>0</v>
      </c>
      <c r="Z16" s="56">
        <v>0</v>
      </c>
      <c r="AA16" s="56">
        <v>0</v>
      </c>
      <c r="AB16" s="56">
        <v>0</v>
      </c>
      <c r="AC16" s="56">
        <v>0</v>
      </c>
      <c r="AD16" s="55">
        <v>0</v>
      </c>
      <c r="AE16" s="55">
        <v>0</v>
      </c>
      <c r="AF16" s="55">
        <v>0</v>
      </c>
      <c r="AG16" s="55">
        <v>0</v>
      </c>
      <c r="AH16" s="55">
        <v>0</v>
      </c>
      <c r="AI16" s="55">
        <v>0</v>
      </c>
      <c r="AJ16" s="55">
        <v>0</v>
      </c>
      <c r="AK16" s="55">
        <v>0</v>
      </c>
      <c r="AL16" s="55">
        <v>0</v>
      </c>
      <c r="AM16" s="40">
        <f t="shared" si="0"/>
        <v>48000</v>
      </c>
      <c r="AN16" s="40">
        <f t="shared" si="1"/>
        <v>1600</v>
      </c>
      <c r="AO16" s="40">
        <f t="shared" si="2"/>
        <v>4080.0000000000005</v>
      </c>
    </row>
    <row r="17" spans="1:41" ht="21" x14ac:dyDescent="0.35">
      <c r="A17" s="26" t="s">
        <v>156</v>
      </c>
      <c r="B17" s="27" t="s">
        <v>157</v>
      </c>
      <c r="C17" s="28" t="s">
        <v>158</v>
      </c>
      <c r="D17" s="27" t="s">
        <v>101</v>
      </c>
      <c r="E17" s="27" t="s">
        <v>102</v>
      </c>
      <c r="F17" s="27" t="s">
        <v>103</v>
      </c>
      <c r="G17" s="29" t="s">
        <v>104</v>
      </c>
      <c r="H17" s="56">
        <v>0</v>
      </c>
      <c r="I17" s="56">
        <v>0</v>
      </c>
      <c r="J17" s="56">
        <v>0</v>
      </c>
      <c r="K17" s="56">
        <v>0</v>
      </c>
      <c r="L17" s="56">
        <v>0</v>
      </c>
      <c r="M17" s="56">
        <v>0</v>
      </c>
      <c r="N17" s="53">
        <v>0</v>
      </c>
      <c r="O17" s="53">
        <v>0</v>
      </c>
      <c r="P17" s="53">
        <v>0</v>
      </c>
      <c r="Q17" s="56">
        <v>0</v>
      </c>
      <c r="R17" s="56">
        <v>0</v>
      </c>
      <c r="S17" s="56">
        <v>0</v>
      </c>
      <c r="T17" s="56">
        <v>18759.87</v>
      </c>
      <c r="U17" s="56">
        <v>0</v>
      </c>
      <c r="V17" s="56">
        <v>0</v>
      </c>
      <c r="W17" s="56">
        <v>0</v>
      </c>
      <c r="X17" s="56">
        <v>0</v>
      </c>
      <c r="Y17" s="56">
        <v>0</v>
      </c>
      <c r="Z17" s="56">
        <v>0</v>
      </c>
      <c r="AA17" s="56">
        <v>0</v>
      </c>
      <c r="AB17" s="56">
        <v>0</v>
      </c>
      <c r="AC17" s="56">
        <v>6328.57</v>
      </c>
      <c r="AD17" s="56">
        <v>0</v>
      </c>
      <c r="AE17" s="56">
        <v>44921.52</v>
      </c>
      <c r="AF17" s="56">
        <v>0</v>
      </c>
      <c r="AG17" s="56">
        <v>0</v>
      </c>
      <c r="AH17" s="56">
        <v>0</v>
      </c>
      <c r="AI17" s="56">
        <v>0</v>
      </c>
      <c r="AJ17" s="56">
        <v>0</v>
      </c>
      <c r="AK17" s="56">
        <v>0</v>
      </c>
      <c r="AL17" s="56">
        <v>17742.32</v>
      </c>
      <c r="AM17" s="40">
        <f t="shared" si="0"/>
        <v>87752.28</v>
      </c>
      <c r="AN17" s="40">
        <f t="shared" si="1"/>
        <v>2333.6653333333329</v>
      </c>
      <c r="AO17" s="40">
        <f t="shared" si="2"/>
        <v>7458.9438</v>
      </c>
    </row>
    <row r="18" spans="1:41" ht="21" x14ac:dyDescent="0.35">
      <c r="A18" s="37" t="s">
        <v>56</v>
      </c>
      <c r="B18" s="27" t="s">
        <v>57</v>
      </c>
      <c r="C18" s="31" t="s">
        <v>58</v>
      </c>
      <c r="D18" s="29" t="s">
        <v>108</v>
      </c>
      <c r="E18" s="29" t="s">
        <v>109</v>
      </c>
      <c r="F18" s="29" t="s">
        <v>110</v>
      </c>
      <c r="G18" s="29" t="s">
        <v>104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23200</v>
      </c>
      <c r="O18" s="56">
        <v>0</v>
      </c>
      <c r="P18" s="56">
        <v>0</v>
      </c>
      <c r="Q18" s="56">
        <v>0</v>
      </c>
      <c r="R18" s="56">
        <v>6672.57</v>
      </c>
      <c r="S18" s="56">
        <v>0</v>
      </c>
      <c r="T18" s="56">
        <v>0</v>
      </c>
      <c r="U18" s="56">
        <v>31445.9</v>
      </c>
      <c r="V18" s="56">
        <v>0</v>
      </c>
      <c r="W18" s="56">
        <v>0</v>
      </c>
      <c r="X18" s="56">
        <v>0</v>
      </c>
      <c r="Y18" s="56">
        <v>0</v>
      </c>
      <c r="Z18" s="56">
        <v>0</v>
      </c>
      <c r="AA18" s="56">
        <v>0</v>
      </c>
      <c r="AB18" s="56">
        <v>0</v>
      </c>
      <c r="AC18" s="56">
        <v>24600</v>
      </c>
      <c r="AD18" s="56">
        <v>0</v>
      </c>
      <c r="AE18" s="56">
        <v>0</v>
      </c>
      <c r="AF18" s="56">
        <v>0</v>
      </c>
      <c r="AG18" s="56">
        <v>0</v>
      </c>
      <c r="AH18" s="56">
        <v>0</v>
      </c>
      <c r="AI18" s="56">
        <v>0</v>
      </c>
      <c r="AJ18" s="56">
        <v>0</v>
      </c>
      <c r="AK18" s="56">
        <v>0</v>
      </c>
      <c r="AL18" s="56">
        <v>0</v>
      </c>
      <c r="AM18" s="40">
        <f t="shared" si="0"/>
        <v>85918.47</v>
      </c>
      <c r="AN18" s="40">
        <f t="shared" si="1"/>
        <v>2863.9490000000001</v>
      </c>
      <c r="AO18" s="40">
        <f t="shared" si="2"/>
        <v>7303.069950000001</v>
      </c>
    </row>
    <row r="19" spans="1:41" ht="21" x14ac:dyDescent="0.35">
      <c r="A19" s="26" t="s">
        <v>74</v>
      </c>
      <c r="B19" s="27" t="s">
        <v>75</v>
      </c>
      <c r="C19" s="28" t="s">
        <v>219</v>
      </c>
      <c r="D19" s="27" t="s">
        <v>112</v>
      </c>
      <c r="E19" s="27" t="s">
        <v>113</v>
      </c>
      <c r="F19" s="27" t="s">
        <v>114</v>
      </c>
      <c r="G19" s="27" t="s">
        <v>104</v>
      </c>
      <c r="H19" s="56">
        <v>23900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4">
        <v>0</v>
      </c>
      <c r="S19" s="54">
        <v>0</v>
      </c>
      <c r="T19" s="54">
        <v>0</v>
      </c>
      <c r="U19" s="54">
        <v>0</v>
      </c>
      <c r="V19" s="54">
        <v>0</v>
      </c>
      <c r="W19" s="54">
        <v>0</v>
      </c>
      <c r="X19" s="54">
        <v>13820.12</v>
      </c>
      <c r="Y19" s="54">
        <v>0</v>
      </c>
      <c r="Z19" s="54">
        <v>0</v>
      </c>
      <c r="AA19" s="54">
        <v>0</v>
      </c>
      <c r="AB19" s="56">
        <v>0</v>
      </c>
      <c r="AC19" s="56">
        <v>0</v>
      </c>
      <c r="AD19" s="56">
        <v>0</v>
      </c>
      <c r="AE19" s="62">
        <v>0</v>
      </c>
      <c r="AF19" s="62">
        <v>0</v>
      </c>
      <c r="AG19" s="62">
        <v>0</v>
      </c>
      <c r="AH19" s="56">
        <v>24607</v>
      </c>
      <c r="AI19" s="56">
        <v>0</v>
      </c>
      <c r="AJ19" s="56">
        <v>0</v>
      </c>
      <c r="AK19" s="56">
        <v>0</v>
      </c>
      <c r="AL19" s="56">
        <v>0</v>
      </c>
      <c r="AM19" s="40">
        <f t="shared" si="0"/>
        <v>62327.12</v>
      </c>
      <c r="AN19" s="40">
        <f t="shared" si="1"/>
        <v>2077.570666666667</v>
      </c>
      <c r="AO19" s="40">
        <f t="shared" si="2"/>
        <v>5297.8052000000007</v>
      </c>
    </row>
    <row r="20" spans="1:41" ht="21" x14ac:dyDescent="0.35">
      <c r="A20" s="26" t="s">
        <v>127</v>
      </c>
      <c r="B20" s="27" t="s">
        <v>128</v>
      </c>
      <c r="C20" s="28" t="s">
        <v>129</v>
      </c>
      <c r="D20" s="27" t="s">
        <v>118</v>
      </c>
      <c r="E20" s="27" t="s">
        <v>119</v>
      </c>
      <c r="F20" s="27" t="s">
        <v>120</v>
      </c>
      <c r="G20" s="27" t="s">
        <v>104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13861.56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6">
        <v>6694.31</v>
      </c>
      <c r="V20" s="56">
        <v>0</v>
      </c>
      <c r="W20" s="56">
        <v>44368.56</v>
      </c>
      <c r="X20" s="56">
        <v>0</v>
      </c>
      <c r="Y20" s="56">
        <v>0</v>
      </c>
      <c r="Z20" s="56">
        <v>0</v>
      </c>
      <c r="AA20" s="56">
        <v>0</v>
      </c>
      <c r="AB20" s="56">
        <v>21126.7</v>
      </c>
      <c r="AC20" s="56">
        <v>0</v>
      </c>
      <c r="AD20" s="56">
        <v>0</v>
      </c>
      <c r="AE20" s="56">
        <v>0</v>
      </c>
      <c r="AF20" s="56">
        <v>0</v>
      </c>
      <c r="AG20" s="56">
        <v>0</v>
      </c>
      <c r="AH20" s="56">
        <v>0</v>
      </c>
      <c r="AI20" s="56">
        <v>0</v>
      </c>
      <c r="AJ20" s="56">
        <v>6875</v>
      </c>
      <c r="AK20" s="56">
        <v>0</v>
      </c>
      <c r="AL20" s="56">
        <v>44921.52</v>
      </c>
      <c r="AM20" s="40">
        <f t="shared" si="0"/>
        <v>137847.65</v>
      </c>
      <c r="AN20" s="40">
        <f t="shared" si="1"/>
        <v>3097.5376666666662</v>
      </c>
      <c r="AO20" s="40">
        <f t="shared" si="2"/>
        <v>11717.05025</v>
      </c>
    </row>
    <row r="21" spans="1:41" ht="21" x14ac:dyDescent="0.35">
      <c r="A21" s="26" t="s">
        <v>105</v>
      </c>
      <c r="B21" s="27" t="s">
        <v>106</v>
      </c>
      <c r="C21" s="28" t="s">
        <v>107</v>
      </c>
      <c r="D21" s="27" t="s">
        <v>124</v>
      </c>
      <c r="E21" s="27" t="s">
        <v>125</v>
      </c>
      <c r="F21" s="27" t="s">
        <v>126</v>
      </c>
      <c r="G21" s="27" t="s">
        <v>104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16000</v>
      </c>
      <c r="O21" s="56">
        <v>0</v>
      </c>
      <c r="P21" s="56">
        <v>0</v>
      </c>
      <c r="Q21" s="56">
        <v>0</v>
      </c>
      <c r="R21" s="56">
        <v>16000</v>
      </c>
      <c r="S21" s="56">
        <v>0</v>
      </c>
      <c r="T21" s="56">
        <v>12000</v>
      </c>
      <c r="U21" s="56">
        <v>0</v>
      </c>
      <c r="V21" s="56">
        <v>16000</v>
      </c>
      <c r="W21" s="56">
        <v>0</v>
      </c>
      <c r="X21" s="56">
        <v>0</v>
      </c>
      <c r="Y21" s="56">
        <v>0</v>
      </c>
      <c r="Z21" s="56">
        <v>0</v>
      </c>
      <c r="AA21" s="56">
        <v>0</v>
      </c>
      <c r="AB21" s="56">
        <v>33000</v>
      </c>
      <c r="AC21" s="56">
        <v>0</v>
      </c>
      <c r="AD21" s="56">
        <v>0</v>
      </c>
      <c r="AE21" s="56">
        <v>0</v>
      </c>
      <c r="AF21" s="56">
        <v>0</v>
      </c>
      <c r="AG21" s="56">
        <v>0</v>
      </c>
      <c r="AH21" s="56">
        <v>0</v>
      </c>
      <c r="AI21" s="56">
        <v>0</v>
      </c>
      <c r="AJ21" s="56">
        <v>0</v>
      </c>
      <c r="AK21" s="56">
        <v>0</v>
      </c>
      <c r="AL21" s="56">
        <v>17000</v>
      </c>
      <c r="AM21" s="40">
        <f t="shared" si="0"/>
        <v>110000</v>
      </c>
      <c r="AN21" s="40">
        <f t="shared" si="1"/>
        <v>3100</v>
      </c>
      <c r="AO21" s="40">
        <f t="shared" si="2"/>
        <v>9350</v>
      </c>
    </row>
    <row r="22" spans="1:41" ht="21" x14ac:dyDescent="0.35">
      <c r="A22" s="26" t="s">
        <v>115</v>
      </c>
      <c r="B22" s="27" t="s">
        <v>116</v>
      </c>
      <c r="C22" s="28" t="s">
        <v>117</v>
      </c>
      <c r="D22" s="27" t="s">
        <v>130</v>
      </c>
      <c r="E22" s="27" t="s">
        <v>131</v>
      </c>
      <c r="F22" s="27" t="s">
        <v>132</v>
      </c>
      <c r="G22" s="27" t="s">
        <v>104</v>
      </c>
      <c r="H22" s="56">
        <v>0</v>
      </c>
      <c r="I22" s="56">
        <v>0</v>
      </c>
      <c r="J22" s="56">
        <v>0</v>
      </c>
      <c r="K22" s="56">
        <v>16000</v>
      </c>
      <c r="L22" s="56">
        <v>0</v>
      </c>
      <c r="M22" s="56">
        <v>0</v>
      </c>
      <c r="N22" s="56">
        <v>0</v>
      </c>
      <c r="O22" s="56">
        <v>0</v>
      </c>
      <c r="P22" s="56">
        <v>6694.31</v>
      </c>
      <c r="Q22" s="56">
        <v>0</v>
      </c>
      <c r="R22" s="56">
        <v>6726.87</v>
      </c>
      <c r="S22" s="56">
        <v>0</v>
      </c>
      <c r="T22" s="56">
        <v>0</v>
      </c>
      <c r="U22" s="56">
        <v>6694.31</v>
      </c>
      <c r="V22" s="56">
        <v>0</v>
      </c>
      <c r="W22" s="56">
        <v>6726.87</v>
      </c>
      <c r="X22" s="56">
        <v>0</v>
      </c>
      <c r="Y22" s="56">
        <v>32960</v>
      </c>
      <c r="Z22" s="56">
        <v>0</v>
      </c>
      <c r="AA22" s="56">
        <v>0</v>
      </c>
      <c r="AB22" s="56">
        <v>0</v>
      </c>
      <c r="AC22" s="56">
        <v>0</v>
      </c>
      <c r="AD22" s="56">
        <v>22360</v>
      </c>
      <c r="AE22" s="56">
        <v>0</v>
      </c>
      <c r="AF22" s="56">
        <v>0</v>
      </c>
      <c r="AG22" s="56">
        <v>0</v>
      </c>
      <c r="AH22" s="56">
        <v>0</v>
      </c>
      <c r="AI22" s="56">
        <v>0</v>
      </c>
      <c r="AJ22" s="56">
        <v>0</v>
      </c>
      <c r="AK22" s="56">
        <v>0</v>
      </c>
      <c r="AL22" s="56">
        <v>0</v>
      </c>
      <c r="AM22" s="40">
        <f t="shared" si="0"/>
        <v>98162.36</v>
      </c>
      <c r="AN22" s="40">
        <f t="shared" si="1"/>
        <v>3272.0786666666668</v>
      </c>
      <c r="AO22" s="40">
        <f t="shared" si="2"/>
        <v>8343.8006000000005</v>
      </c>
    </row>
    <row r="23" spans="1:41" ht="21" x14ac:dyDescent="0.35">
      <c r="A23" s="26" t="s">
        <v>80</v>
      </c>
      <c r="B23" s="27" t="s">
        <v>81</v>
      </c>
      <c r="C23" s="28" t="s">
        <v>82</v>
      </c>
      <c r="D23" s="27" t="s">
        <v>136</v>
      </c>
      <c r="E23" s="27" t="s">
        <v>137</v>
      </c>
      <c r="F23" s="29" t="s">
        <v>138</v>
      </c>
      <c r="G23" s="29" t="s">
        <v>104</v>
      </c>
      <c r="H23" s="56">
        <v>22560</v>
      </c>
      <c r="I23" s="56">
        <v>0</v>
      </c>
      <c r="J23" s="56">
        <v>0</v>
      </c>
      <c r="K23" s="56">
        <v>0</v>
      </c>
      <c r="L23" s="56">
        <v>0</v>
      </c>
      <c r="M23" s="56">
        <v>0</v>
      </c>
      <c r="N23" s="56">
        <v>24600</v>
      </c>
      <c r="O23" s="56">
        <v>0</v>
      </c>
      <c r="P23" s="56">
        <v>0</v>
      </c>
      <c r="Q23" s="56">
        <v>0</v>
      </c>
      <c r="R23" s="56">
        <v>0</v>
      </c>
      <c r="S23" s="56">
        <v>0</v>
      </c>
      <c r="T23" s="56">
        <v>0</v>
      </c>
      <c r="U23" s="56">
        <v>0</v>
      </c>
      <c r="V23" s="56">
        <v>0</v>
      </c>
      <c r="W23" s="56">
        <v>0</v>
      </c>
      <c r="X23" s="56">
        <v>21500</v>
      </c>
      <c r="Y23" s="56">
        <v>0</v>
      </c>
      <c r="Z23" s="56">
        <v>0</v>
      </c>
      <c r="AA23" s="56">
        <v>0</v>
      </c>
      <c r="AB23" s="56">
        <v>0</v>
      </c>
      <c r="AC23" s="56">
        <v>24000</v>
      </c>
      <c r="AD23" s="56">
        <v>0</v>
      </c>
      <c r="AE23" s="56">
        <v>0</v>
      </c>
      <c r="AF23" s="56">
        <v>0</v>
      </c>
      <c r="AG23" s="56">
        <v>0</v>
      </c>
      <c r="AH23" s="56">
        <v>0</v>
      </c>
      <c r="AI23" s="56">
        <v>0</v>
      </c>
      <c r="AJ23" s="56">
        <v>0</v>
      </c>
      <c r="AK23" s="56">
        <v>0</v>
      </c>
      <c r="AL23" s="56">
        <v>34537.699999999997</v>
      </c>
      <c r="AM23" s="40">
        <f t="shared" si="0"/>
        <v>127197.7</v>
      </c>
      <c r="AN23" s="40">
        <f t="shared" si="1"/>
        <v>3088.6666666666665</v>
      </c>
      <c r="AO23" s="40">
        <f t="shared" si="2"/>
        <v>10811.8045</v>
      </c>
    </row>
    <row r="24" spans="1:41" ht="21" x14ac:dyDescent="0.35">
      <c r="A24" s="26" t="s">
        <v>121</v>
      </c>
      <c r="B24" s="27" t="s">
        <v>122</v>
      </c>
      <c r="C24" s="28" t="s">
        <v>123</v>
      </c>
      <c r="D24" s="27" t="s">
        <v>142</v>
      </c>
      <c r="E24" s="27" t="s">
        <v>143</v>
      </c>
      <c r="F24" s="27" t="s">
        <v>144</v>
      </c>
      <c r="G24" s="27" t="s">
        <v>104</v>
      </c>
      <c r="H24" s="56">
        <v>0</v>
      </c>
      <c r="I24" s="56">
        <v>0</v>
      </c>
      <c r="J24" s="56">
        <v>0</v>
      </c>
      <c r="K24" s="56">
        <v>0</v>
      </c>
      <c r="L24" s="56">
        <v>0</v>
      </c>
      <c r="M24" s="56">
        <v>19050</v>
      </c>
      <c r="N24" s="56">
        <v>0</v>
      </c>
      <c r="O24" s="56">
        <v>0</v>
      </c>
      <c r="P24" s="56">
        <v>0</v>
      </c>
      <c r="Q24" s="56">
        <v>17600</v>
      </c>
      <c r="R24" s="56">
        <v>0</v>
      </c>
      <c r="S24" s="56">
        <v>0</v>
      </c>
      <c r="T24" s="56">
        <v>16000</v>
      </c>
      <c r="U24" s="56">
        <v>0</v>
      </c>
      <c r="V24" s="56">
        <v>0</v>
      </c>
      <c r="W24" s="56">
        <v>0</v>
      </c>
      <c r="X24" s="56">
        <v>0</v>
      </c>
      <c r="Y24" s="56">
        <v>0</v>
      </c>
      <c r="Z24" s="56">
        <v>0</v>
      </c>
      <c r="AA24" s="56">
        <v>0</v>
      </c>
      <c r="AB24" s="56">
        <v>6694.31</v>
      </c>
      <c r="AC24" s="56">
        <v>0</v>
      </c>
      <c r="AD24" s="56">
        <v>44921.52</v>
      </c>
      <c r="AE24" s="56">
        <v>0</v>
      </c>
      <c r="AF24" s="56">
        <v>0</v>
      </c>
      <c r="AG24" s="56">
        <v>0</v>
      </c>
      <c r="AH24" s="56">
        <v>0</v>
      </c>
      <c r="AI24" s="56">
        <v>0</v>
      </c>
      <c r="AJ24" s="56">
        <v>0</v>
      </c>
      <c r="AK24" s="56">
        <v>19584.099999999999</v>
      </c>
      <c r="AL24" s="56">
        <v>0</v>
      </c>
      <c r="AM24" s="40">
        <f t="shared" si="0"/>
        <v>123849.93</v>
      </c>
      <c r="AN24" s="40">
        <f t="shared" si="1"/>
        <v>4128.3310000000001</v>
      </c>
      <c r="AO24" s="40">
        <f t="shared" si="2"/>
        <v>10527.244049999999</v>
      </c>
    </row>
    <row r="25" spans="1:41" ht="21" x14ac:dyDescent="0.35">
      <c r="A25" s="61" t="s">
        <v>198</v>
      </c>
      <c r="B25" s="27" t="s">
        <v>199</v>
      </c>
      <c r="C25" s="31"/>
      <c r="D25" s="29" t="s">
        <v>147</v>
      </c>
      <c r="E25" s="29" t="s">
        <v>148</v>
      </c>
      <c r="F25" s="27" t="s">
        <v>149</v>
      </c>
      <c r="G25" s="27" t="s">
        <v>104</v>
      </c>
      <c r="H25" s="56">
        <v>0</v>
      </c>
      <c r="I25" s="56">
        <v>0</v>
      </c>
      <c r="J25" s="56">
        <v>0</v>
      </c>
      <c r="K25" s="56">
        <v>0</v>
      </c>
      <c r="L25" s="56">
        <v>0</v>
      </c>
      <c r="M25" s="56">
        <v>0</v>
      </c>
      <c r="N25" s="56">
        <v>0</v>
      </c>
      <c r="O25" s="56">
        <v>0</v>
      </c>
      <c r="P25" s="56">
        <v>0</v>
      </c>
      <c r="Q25" s="56">
        <v>0</v>
      </c>
      <c r="R25" s="56">
        <v>0</v>
      </c>
      <c r="S25" s="56">
        <v>0</v>
      </c>
      <c r="T25" s="56">
        <v>16965</v>
      </c>
      <c r="U25" s="56">
        <v>0</v>
      </c>
      <c r="V25" s="56">
        <v>0</v>
      </c>
      <c r="W25" s="56">
        <v>0</v>
      </c>
      <c r="X25" s="56">
        <v>0</v>
      </c>
      <c r="Y25" s="56">
        <v>0</v>
      </c>
      <c r="Z25" s="56">
        <v>0</v>
      </c>
      <c r="AA25" s="56">
        <v>0</v>
      </c>
      <c r="AB25" s="56">
        <v>0</v>
      </c>
      <c r="AC25" s="56">
        <v>0</v>
      </c>
      <c r="AD25" s="56">
        <v>0</v>
      </c>
      <c r="AE25" s="56">
        <v>0</v>
      </c>
      <c r="AF25" s="55">
        <v>0</v>
      </c>
      <c r="AG25" s="55">
        <v>0</v>
      </c>
      <c r="AH25" s="55">
        <v>0</v>
      </c>
      <c r="AI25" s="55">
        <v>0</v>
      </c>
      <c r="AJ25" s="55">
        <v>0</v>
      </c>
      <c r="AK25" s="55">
        <v>0</v>
      </c>
      <c r="AL25" s="55">
        <v>0</v>
      </c>
      <c r="AM25" s="40">
        <f t="shared" si="0"/>
        <v>16965</v>
      </c>
      <c r="AN25" s="40">
        <f t="shared" si="1"/>
        <v>565.5</v>
      </c>
      <c r="AO25" s="40">
        <f t="shared" si="2"/>
        <v>1442.0250000000001</v>
      </c>
    </row>
    <row r="26" spans="1:41" ht="21" x14ac:dyDescent="0.35">
      <c r="A26" s="59" t="s">
        <v>215</v>
      </c>
      <c r="B26" s="27" t="s">
        <v>145</v>
      </c>
      <c r="C26" s="31"/>
      <c r="D26" s="27" t="s">
        <v>153</v>
      </c>
      <c r="E26" s="27" t="s">
        <v>154</v>
      </c>
      <c r="F26" s="27" t="s">
        <v>155</v>
      </c>
      <c r="G26" s="27" t="s">
        <v>104</v>
      </c>
      <c r="H26" s="56">
        <v>12000</v>
      </c>
      <c r="I26" s="56">
        <v>0</v>
      </c>
      <c r="J26" s="56">
        <v>20000</v>
      </c>
      <c r="K26" s="56">
        <v>0</v>
      </c>
      <c r="L26" s="56">
        <v>0</v>
      </c>
      <c r="M26" s="56">
        <v>0</v>
      </c>
      <c r="N26" s="56">
        <v>0</v>
      </c>
      <c r="O26" s="56">
        <v>12000</v>
      </c>
      <c r="P26" s="56">
        <v>0</v>
      </c>
      <c r="Q26" s="56">
        <v>0</v>
      </c>
      <c r="R26" s="56">
        <v>20000</v>
      </c>
      <c r="S26" s="56">
        <v>0</v>
      </c>
      <c r="T26" s="56">
        <v>0</v>
      </c>
      <c r="U26" s="56">
        <v>0</v>
      </c>
      <c r="V26" s="56">
        <v>0</v>
      </c>
      <c r="W26" s="56">
        <v>0</v>
      </c>
      <c r="X26" s="56">
        <v>0</v>
      </c>
      <c r="Y26" s="56">
        <v>0</v>
      </c>
      <c r="Z26" s="56">
        <v>0</v>
      </c>
      <c r="AA26" s="56">
        <v>0</v>
      </c>
      <c r="AB26" s="56">
        <v>0</v>
      </c>
      <c r="AC26" s="56">
        <v>0</v>
      </c>
      <c r="AD26" s="55">
        <v>0</v>
      </c>
      <c r="AE26" s="55">
        <v>0</v>
      </c>
      <c r="AF26" s="55">
        <v>0</v>
      </c>
      <c r="AG26" s="55">
        <v>0</v>
      </c>
      <c r="AH26" s="55">
        <v>0</v>
      </c>
      <c r="AI26" s="55">
        <v>0</v>
      </c>
      <c r="AJ26" s="55">
        <v>0</v>
      </c>
      <c r="AK26" s="55">
        <v>0</v>
      </c>
      <c r="AL26" s="55"/>
      <c r="AM26" s="40">
        <f t="shared" si="0"/>
        <v>64000</v>
      </c>
      <c r="AN26" s="40">
        <f t="shared" si="1"/>
        <v>2133.3333333333335</v>
      </c>
      <c r="AO26" s="40">
        <f t="shared" si="2"/>
        <v>5440</v>
      </c>
    </row>
    <row r="27" spans="1:41" ht="21" x14ac:dyDescent="0.35">
      <c r="A27" s="27" t="s">
        <v>180</v>
      </c>
      <c r="B27" s="27" t="s">
        <v>181</v>
      </c>
      <c r="C27" s="28" t="s">
        <v>182</v>
      </c>
      <c r="D27" s="27" t="s">
        <v>159</v>
      </c>
      <c r="E27" s="27" t="s">
        <v>160</v>
      </c>
      <c r="F27" s="27" t="s">
        <v>161</v>
      </c>
      <c r="G27" s="27" t="s">
        <v>104</v>
      </c>
      <c r="H27" s="56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</v>
      </c>
      <c r="S27" s="53">
        <v>0</v>
      </c>
      <c r="T27" s="53">
        <v>0</v>
      </c>
      <c r="U27" s="53">
        <v>0</v>
      </c>
      <c r="V27" s="56">
        <v>13757.6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33557.019999999997</v>
      </c>
      <c r="AC27" s="56">
        <v>0</v>
      </c>
      <c r="AD27" s="56">
        <v>0</v>
      </c>
      <c r="AE27" s="56">
        <v>0</v>
      </c>
      <c r="AF27" s="56">
        <v>0</v>
      </c>
      <c r="AG27" s="56">
        <v>0</v>
      </c>
      <c r="AH27" s="56">
        <v>0</v>
      </c>
      <c r="AI27" s="56">
        <v>0</v>
      </c>
      <c r="AJ27" s="56">
        <v>0</v>
      </c>
      <c r="AK27" s="56">
        <v>0</v>
      </c>
      <c r="AL27" s="56">
        <v>20215</v>
      </c>
      <c r="AM27" s="40">
        <f t="shared" si="0"/>
        <v>67529.62</v>
      </c>
      <c r="AN27" s="40">
        <f t="shared" si="1"/>
        <v>1577.1539999999998</v>
      </c>
      <c r="AO27" s="40">
        <f t="shared" si="2"/>
        <v>5740.0177000000003</v>
      </c>
    </row>
    <row r="28" spans="1:41" ht="21" x14ac:dyDescent="0.35">
      <c r="A28" s="30" t="s">
        <v>50</v>
      </c>
      <c r="B28" s="29" t="s">
        <v>51</v>
      </c>
      <c r="C28" s="31" t="s">
        <v>52</v>
      </c>
      <c r="D28" s="27" t="s">
        <v>165</v>
      </c>
      <c r="E28" s="27" t="s">
        <v>166</v>
      </c>
      <c r="F28" s="27" t="s">
        <v>167</v>
      </c>
      <c r="G28" s="27" t="s">
        <v>104</v>
      </c>
      <c r="H28" s="56">
        <v>0</v>
      </c>
      <c r="I28" s="56">
        <v>0</v>
      </c>
      <c r="J28" s="56">
        <v>6672.56</v>
      </c>
      <c r="K28" s="56">
        <v>0</v>
      </c>
      <c r="L28" s="56">
        <v>0</v>
      </c>
      <c r="M28" s="56">
        <v>0</v>
      </c>
      <c r="N28" s="54">
        <v>0</v>
      </c>
      <c r="O28" s="53">
        <v>0</v>
      </c>
      <c r="P28" s="56">
        <v>0</v>
      </c>
      <c r="Q28" s="56">
        <v>44368.56</v>
      </c>
      <c r="R28" s="54">
        <v>0</v>
      </c>
      <c r="S28" s="54">
        <v>0</v>
      </c>
      <c r="T28" s="54">
        <v>0</v>
      </c>
      <c r="U28" s="54">
        <v>0</v>
      </c>
      <c r="V28" s="54">
        <v>0</v>
      </c>
      <c r="W28" s="56">
        <v>0</v>
      </c>
      <c r="X28" s="56">
        <v>0</v>
      </c>
      <c r="Y28" s="56">
        <v>0</v>
      </c>
      <c r="Z28" s="56">
        <v>0</v>
      </c>
      <c r="AA28" s="56">
        <v>0</v>
      </c>
      <c r="AB28" s="56">
        <v>0</v>
      </c>
      <c r="AC28" s="56">
        <v>0</v>
      </c>
      <c r="AD28" s="56">
        <v>24000</v>
      </c>
      <c r="AE28" s="56">
        <v>0</v>
      </c>
      <c r="AF28" s="56">
        <v>0</v>
      </c>
      <c r="AG28" s="56">
        <v>0</v>
      </c>
      <c r="AH28" s="56">
        <v>0</v>
      </c>
      <c r="AI28" s="56">
        <v>0</v>
      </c>
      <c r="AJ28" s="56">
        <v>0</v>
      </c>
      <c r="AK28" s="56">
        <v>0</v>
      </c>
      <c r="AL28" s="56">
        <v>18940</v>
      </c>
      <c r="AM28" s="40">
        <f t="shared" si="0"/>
        <v>93981.119999999995</v>
      </c>
      <c r="AN28" s="40">
        <f t="shared" si="1"/>
        <v>2501.3706666666667</v>
      </c>
      <c r="AO28" s="40">
        <f t="shared" si="2"/>
        <v>7988.3951999999999</v>
      </c>
    </row>
    <row r="29" spans="1:41" ht="21" x14ac:dyDescent="0.35">
      <c r="A29" s="26" t="s">
        <v>168</v>
      </c>
      <c r="B29" s="27" t="s">
        <v>169</v>
      </c>
      <c r="C29" s="28" t="s">
        <v>170</v>
      </c>
      <c r="D29" s="27" t="s">
        <v>171</v>
      </c>
      <c r="E29" s="27" t="s">
        <v>172</v>
      </c>
      <c r="F29" s="27" t="s">
        <v>173</v>
      </c>
      <c r="G29" s="27" t="s">
        <v>104</v>
      </c>
      <c r="H29" s="56">
        <v>0</v>
      </c>
      <c r="I29" s="56">
        <v>0</v>
      </c>
      <c r="J29" s="56">
        <v>12705.74</v>
      </c>
      <c r="K29" s="56">
        <v>0</v>
      </c>
      <c r="L29" s="56">
        <v>0</v>
      </c>
      <c r="M29" s="56">
        <v>0</v>
      </c>
      <c r="N29" s="56">
        <v>0</v>
      </c>
      <c r="O29" s="56">
        <v>6694.31</v>
      </c>
      <c r="P29" s="56">
        <v>0</v>
      </c>
      <c r="Q29" s="56">
        <v>44921.120000000003</v>
      </c>
      <c r="R29" s="56">
        <v>0</v>
      </c>
      <c r="S29" s="56">
        <v>0</v>
      </c>
      <c r="T29" s="56">
        <v>0</v>
      </c>
      <c r="U29" s="56">
        <v>0</v>
      </c>
      <c r="V29" s="56">
        <v>0</v>
      </c>
      <c r="W29" s="56">
        <v>0</v>
      </c>
      <c r="X29" s="56">
        <v>19059.87</v>
      </c>
      <c r="Y29" s="56">
        <v>0</v>
      </c>
      <c r="Z29" s="56">
        <v>0</v>
      </c>
      <c r="AA29" s="56">
        <v>0</v>
      </c>
      <c r="AB29" s="56">
        <v>0</v>
      </c>
      <c r="AC29" s="56">
        <v>0</v>
      </c>
      <c r="AD29" s="56">
        <v>13000</v>
      </c>
      <c r="AE29" s="56">
        <v>20000</v>
      </c>
      <c r="AF29" s="56">
        <v>0</v>
      </c>
      <c r="AG29" s="56">
        <v>0</v>
      </c>
      <c r="AH29" s="56">
        <v>0</v>
      </c>
      <c r="AI29" s="56">
        <v>0</v>
      </c>
      <c r="AJ29" s="56">
        <v>0</v>
      </c>
      <c r="AK29" s="56">
        <v>0</v>
      </c>
      <c r="AL29" s="56">
        <v>0</v>
      </c>
      <c r="AM29" s="40">
        <f t="shared" si="0"/>
        <v>116381.04</v>
      </c>
      <c r="AN29" s="40">
        <f t="shared" si="1"/>
        <v>3879.3679999999999</v>
      </c>
      <c r="AO29" s="40">
        <f t="shared" si="2"/>
        <v>9892.3883999999998</v>
      </c>
    </row>
    <row r="30" spans="1:41" ht="21" x14ac:dyDescent="0.35">
      <c r="A30" s="26" t="s">
        <v>213</v>
      </c>
      <c r="B30" s="27" t="s">
        <v>214</v>
      </c>
      <c r="C30" s="28" t="s">
        <v>205</v>
      </c>
      <c r="D30" s="27" t="s">
        <v>177</v>
      </c>
      <c r="E30" s="27" t="s">
        <v>178</v>
      </c>
      <c r="F30" s="27" t="s">
        <v>179</v>
      </c>
      <c r="G30" s="27" t="s">
        <v>104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56">
        <v>0</v>
      </c>
      <c r="S30" s="56">
        <v>0</v>
      </c>
      <c r="T30" s="56">
        <v>0</v>
      </c>
      <c r="U30" s="56">
        <v>17300</v>
      </c>
      <c r="V30" s="56">
        <v>0</v>
      </c>
      <c r="W30" s="56">
        <v>0</v>
      </c>
      <c r="X30" s="56">
        <v>0</v>
      </c>
      <c r="Y30" s="56">
        <v>0</v>
      </c>
      <c r="Z30" s="56">
        <v>0</v>
      </c>
      <c r="AA30" s="56">
        <v>0</v>
      </c>
      <c r="AB30" s="56">
        <v>0</v>
      </c>
      <c r="AC30" s="56">
        <v>16125</v>
      </c>
      <c r="AD30" s="56">
        <v>0</v>
      </c>
      <c r="AE30" s="56">
        <v>0</v>
      </c>
      <c r="AF30" s="56">
        <v>0</v>
      </c>
      <c r="AG30" s="56">
        <v>0</v>
      </c>
      <c r="AH30" s="56">
        <v>0</v>
      </c>
      <c r="AI30" s="56">
        <v>17700</v>
      </c>
      <c r="AJ30" s="56">
        <v>0</v>
      </c>
      <c r="AK30" s="56">
        <v>0</v>
      </c>
      <c r="AL30" s="56">
        <v>0</v>
      </c>
      <c r="AM30" s="40">
        <f t="shared" si="0"/>
        <v>51125</v>
      </c>
      <c r="AN30" s="40">
        <f t="shared" si="1"/>
        <v>1704.1666666666667</v>
      </c>
      <c r="AO30" s="40">
        <f t="shared" si="2"/>
        <v>4345.625</v>
      </c>
    </row>
    <row r="31" spans="1:41" ht="21" x14ac:dyDescent="0.35">
      <c r="A31" s="61" t="s">
        <v>68</v>
      </c>
      <c r="B31" s="27" t="s">
        <v>69</v>
      </c>
      <c r="C31" s="28"/>
      <c r="D31" s="27" t="s">
        <v>183</v>
      </c>
      <c r="E31" s="27" t="s">
        <v>184</v>
      </c>
      <c r="F31" s="27" t="s">
        <v>185</v>
      </c>
      <c r="G31" s="27" t="s">
        <v>104</v>
      </c>
      <c r="H31" s="56">
        <v>0</v>
      </c>
      <c r="I31" s="56">
        <v>0</v>
      </c>
      <c r="J31" s="56">
        <v>31409.85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56">
        <v>0</v>
      </c>
      <c r="S31" s="56">
        <v>0</v>
      </c>
      <c r="T31" s="56">
        <v>24600</v>
      </c>
      <c r="U31" s="56">
        <v>0</v>
      </c>
      <c r="V31" s="56">
        <v>0</v>
      </c>
      <c r="W31" s="56">
        <v>0</v>
      </c>
      <c r="X31" s="56">
        <v>0</v>
      </c>
      <c r="Y31" s="56">
        <v>0</v>
      </c>
      <c r="Z31" s="56">
        <v>0</v>
      </c>
      <c r="AA31" s="56">
        <v>0</v>
      </c>
      <c r="AB31" s="56">
        <v>0</v>
      </c>
      <c r="AC31" s="56">
        <v>0</v>
      </c>
      <c r="AD31" s="55">
        <v>0</v>
      </c>
      <c r="AE31" s="55">
        <v>0</v>
      </c>
      <c r="AF31" s="55">
        <v>0</v>
      </c>
      <c r="AG31" s="55">
        <v>0</v>
      </c>
      <c r="AH31" s="55">
        <v>0</v>
      </c>
      <c r="AI31" s="55">
        <v>0</v>
      </c>
      <c r="AJ31" s="55">
        <v>0</v>
      </c>
      <c r="AK31" s="55">
        <v>0</v>
      </c>
      <c r="AL31" s="55">
        <v>0</v>
      </c>
      <c r="AM31" s="40">
        <f t="shared" si="0"/>
        <v>56009.85</v>
      </c>
      <c r="AN31" s="40">
        <f t="shared" si="1"/>
        <v>1866.9949999999999</v>
      </c>
      <c r="AO31" s="40">
        <f t="shared" si="2"/>
        <v>4760.8372500000005</v>
      </c>
    </row>
    <row r="32" spans="1:41" ht="21" x14ac:dyDescent="0.35">
      <c r="A32" s="26" t="s">
        <v>186</v>
      </c>
      <c r="B32" s="27" t="s">
        <v>187</v>
      </c>
      <c r="C32" s="28" t="s">
        <v>188</v>
      </c>
      <c r="D32" s="29" t="s">
        <v>196</v>
      </c>
      <c r="E32" s="29" t="s">
        <v>190</v>
      </c>
      <c r="F32" s="29" t="s">
        <v>197</v>
      </c>
      <c r="G32" s="29" t="s">
        <v>192</v>
      </c>
      <c r="H32" s="56">
        <v>0</v>
      </c>
      <c r="I32" s="56">
        <v>0</v>
      </c>
      <c r="J32" s="56">
        <v>0</v>
      </c>
      <c r="K32" s="56">
        <v>0</v>
      </c>
      <c r="L32" s="56">
        <v>0</v>
      </c>
      <c r="M32" s="56">
        <v>0</v>
      </c>
      <c r="N32" s="56">
        <v>0</v>
      </c>
      <c r="O32" s="56">
        <v>0</v>
      </c>
      <c r="P32" s="56">
        <v>0</v>
      </c>
      <c r="Q32" s="56">
        <v>0</v>
      </c>
      <c r="R32" s="56">
        <v>0</v>
      </c>
      <c r="S32" s="56">
        <v>0</v>
      </c>
      <c r="T32" s="56">
        <v>0</v>
      </c>
      <c r="U32" s="56">
        <v>6600</v>
      </c>
      <c r="V32" s="56">
        <v>0</v>
      </c>
      <c r="W32" s="56">
        <v>0</v>
      </c>
      <c r="X32" s="56">
        <v>0</v>
      </c>
      <c r="Y32" s="56">
        <v>0</v>
      </c>
      <c r="Z32" s="56">
        <v>0</v>
      </c>
      <c r="AA32" s="56">
        <v>14393</v>
      </c>
      <c r="AB32" s="56">
        <v>0</v>
      </c>
      <c r="AC32" s="56">
        <v>0</v>
      </c>
      <c r="AD32" s="56">
        <v>24872.35</v>
      </c>
      <c r="AE32" s="56">
        <v>0</v>
      </c>
      <c r="AF32" s="56">
        <v>0</v>
      </c>
      <c r="AG32" s="56">
        <v>0</v>
      </c>
      <c r="AH32" s="56">
        <v>0</v>
      </c>
      <c r="AI32" s="56">
        <v>0</v>
      </c>
      <c r="AJ32" s="56">
        <v>0</v>
      </c>
      <c r="AK32" s="56">
        <v>0</v>
      </c>
      <c r="AL32" s="56">
        <v>11909.4</v>
      </c>
      <c r="AM32" s="40">
        <f t="shared" si="0"/>
        <v>57774.75</v>
      </c>
      <c r="AN32" s="40">
        <f t="shared" si="1"/>
        <v>1528.845</v>
      </c>
      <c r="AO32" s="40">
        <f t="shared" si="2"/>
        <v>4910.8537500000002</v>
      </c>
    </row>
    <row r="33" spans="1:41" ht="21" x14ac:dyDescent="0.35">
      <c r="A33" s="26" t="s">
        <v>150</v>
      </c>
      <c r="B33" s="27" t="s">
        <v>151</v>
      </c>
      <c r="C33" s="28" t="s">
        <v>152</v>
      </c>
      <c r="D33" s="27" t="s">
        <v>201</v>
      </c>
      <c r="E33" s="27" t="s">
        <v>190</v>
      </c>
      <c r="F33" s="27" t="s">
        <v>202</v>
      </c>
      <c r="G33" s="29" t="s">
        <v>192</v>
      </c>
      <c r="H33" s="56">
        <v>0</v>
      </c>
      <c r="I33" s="56">
        <v>44921.120000000003</v>
      </c>
      <c r="J33" s="56">
        <v>0</v>
      </c>
      <c r="K33" s="56">
        <v>0</v>
      </c>
      <c r="L33" s="56">
        <v>0</v>
      </c>
      <c r="M33" s="56">
        <v>0</v>
      </c>
      <c r="N33" s="56">
        <v>0</v>
      </c>
      <c r="O33" s="56">
        <v>0</v>
      </c>
      <c r="P33" s="56">
        <v>0</v>
      </c>
      <c r="Q33" s="56">
        <v>15960</v>
      </c>
      <c r="R33" s="56">
        <v>0</v>
      </c>
      <c r="S33" s="56">
        <v>0</v>
      </c>
      <c r="T33" s="56">
        <v>0</v>
      </c>
      <c r="U33" s="56">
        <v>0</v>
      </c>
      <c r="V33" s="56">
        <v>6694.31</v>
      </c>
      <c r="W33" s="56">
        <v>0</v>
      </c>
      <c r="X33" s="56">
        <v>44921.52</v>
      </c>
      <c r="Y33" s="56">
        <v>0</v>
      </c>
      <c r="Z33" s="56">
        <v>0</v>
      </c>
      <c r="AA33" s="56">
        <v>0</v>
      </c>
      <c r="AB33" s="56">
        <v>0</v>
      </c>
      <c r="AC33" s="56">
        <v>0</v>
      </c>
      <c r="AD33" s="56">
        <v>0</v>
      </c>
      <c r="AE33" s="56">
        <v>18495</v>
      </c>
      <c r="AF33" s="56">
        <v>0</v>
      </c>
      <c r="AG33" s="56">
        <v>0</v>
      </c>
      <c r="AH33" s="56">
        <v>0</v>
      </c>
      <c r="AI33" s="56">
        <v>0</v>
      </c>
      <c r="AJ33" s="56">
        <v>0</v>
      </c>
      <c r="AK33" s="56">
        <v>0</v>
      </c>
      <c r="AL33" s="56">
        <v>40868.660000000003</v>
      </c>
      <c r="AM33" s="40">
        <f t="shared" si="0"/>
        <v>171860.61000000002</v>
      </c>
      <c r="AN33" s="40">
        <f t="shared" si="1"/>
        <v>4366.3983333333335</v>
      </c>
      <c r="AO33" s="40">
        <f t="shared" si="2"/>
        <v>14608.151850000002</v>
      </c>
    </row>
    <row r="34" spans="1:41" ht="21" x14ac:dyDescent="0.35">
      <c r="A34" s="26" t="s">
        <v>227</v>
      </c>
      <c r="B34" s="27" t="s">
        <v>228</v>
      </c>
      <c r="C34" s="28" t="s">
        <v>226</v>
      </c>
      <c r="D34" s="27"/>
      <c r="E34" s="27"/>
      <c r="F34" s="27"/>
      <c r="G34" s="29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63"/>
      <c r="AB34" s="63"/>
      <c r="AC34" s="56"/>
      <c r="AD34" s="56">
        <v>31409.85</v>
      </c>
      <c r="AE34" s="56"/>
      <c r="AF34" s="56"/>
      <c r="AG34" s="56"/>
      <c r="AH34" s="56"/>
      <c r="AI34" s="56"/>
      <c r="AJ34" s="56"/>
      <c r="AK34" s="56">
        <v>24000</v>
      </c>
      <c r="AL34" s="56"/>
      <c r="AM34" s="40">
        <f t="shared" si="0"/>
        <v>55409.85</v>
      </c>
      <c r="AN34" s="40">
        <f t="shared" si="1"/>
        <v>27704.924999999999</v>
      </c>
      <c r="AO34" s="40">
        <f t="shared" si="2"/>
        <v>4709.8372500000005</v>
      </c>
    </row>
    <row r="35" spans="1:41" ht="21" x14ac:dyDescent="0.35">
      <c r="A35" s="26" t="s">
        <v>231</v>
      </c>
      <c r="B35" s="27" t="s">
        <v>232</v>
      </c>
      <c r="C35" s="60" t="s">
        <v>222</v>
      </c>
      <c r="D35" s="29" t="s">
        <v>206</v>
      </c>
      <c r="E35" s="27" t="s">
        <v>190</v>
      </c>
      <c r="F35" s="27" t="s">
        <v>207</v>
      </c>
      <c r="G35" s="27" t="s">
        <v>208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56">
        <v>0</v>
      </c>
      <c r="V35" s="56">
        <v>0</v>
      </c>
      <c r="W35" s="56">
        <v>0</v>
      </c>
      <c r="X35" s="56">
        <v>0</v>
      </c>
      <c r="Y35" s="56">
        <v>0</v>
      </c>
      <c r="Z35" s="56">
        <v>0</v>
      </c>
      <c r="AA35" s="56">
        <v>0</v>
      </c>
      <c r="AB35" s="54">
        <v>0</v>
      </c>
      <c r="AC35" s="54">
        <v>0</v>
      </c>
      <c r="AD35" s="54">
        <v>0</v>
      </c>
      <c r="AE35" s="54">
        <v>0</v>
      </c>
      <c r="AF35" s="54">
        <v>0</v>
      </c>
      <c r="AG35" s="54">
        <v>0</v>
      </c>
      <c r="AH35" s="56">
        <v>0</v>
      </c>
      <c r="AI35" s="56">
        <v>30312</v>
      </c>
      <c r="AJ35" s="56">
        <v>0</v>
      </c>
      <c r="AK35" s="56">
        <v>0</v>
      </c>
      <c r="AL35" s="56">
        <v>0</v>
      </c>
      <c r="AM35" s="40">
        <f t="shared" si="0"/>
        <v>30312</v>
      </c>
      <c r="AN35" s="40">
        <f t="shared" si="1"/>
        <v>1010.4</v>
      </c>
      <c r="AO35" s="40">
        <f t="shared" si="2"/>
        <v>2576.52</v>
      </c>
    </row>
    <row r="36" spans="1:41" ht="21" x14ac:dyDescent="0.35">
      <c r="A36" s="26" t="s">
        <v>224</v>
      </c>
      <c r="B36" s="27"/>
      <c r="C36" s="57" t="s">
        <v>88</v>
      </c>
      <c r="D36" s="50"/>
      <c r="E36" s="35"/>
      <c r="F36" s="35"/>
      <c r="G36" s="35"/>
      <c r="H36" s="56"/>
      <c r="I36" s="56"/>
      <c r="J36" s="56"/>
      <c r="K36" s="56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40">
        <f t="shared" si="0"/>
        <v>0</v>
      </c>
      <c r="AN36" s="40" t="e">
        <f t="shared" si="1"/>
        <v>#DIV/0!</v>
      </c>
      <c r="AO36" s="40">
        <f t="shared" si="2"/>
        <v>0</v>
      </c>
    </row>
    <row r="37" spans="1:41" ht="21" x14ac:dyDescent="0.35">
      <c r="A37" s="26" t="s">
        <v>224</v>
      </c>
      <c r="B37" s="27"/>
      <c r="C37" s="57" t="s">
        <v>111</v>
      </c>
      <c r="D37" s="50"/>
      <c r="E37" s="35"/>
      <c r="F37" s="35"/>
      <c r="G37" s="35"/>
      <c r="H37" s="56"/>
      <c r="I37" s="56"/>
      <c r="J37" s="56"/>
      <c r="K37" s="56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40">
        <f t="shared" si="0"/>
        <v>0</v>
      </c>
      <c r="AN37" s="40" t="e">
        <f t="shared" si="1"/>
        <v>#DIV/0!</v>
      </c>
      <c r="AO37" s="40">
        <f t="shared" si="2"/>
        <v>0</v>
      </c>
    </row>
    <row r="38" spans="1:41" ht="21" x14ac:dyDescent="0.35">
      <c r="A38" s="26" t="s">
        <v>224</v>
      </c>
      <c r="B38" s="35"/>
      <c r="C38" s="57" t="s">
        <v>223</v>
      </c>
      <c r="D38" s="50"/>
      <c r="E38" s="35"/>
      <c r="F38" s="35"/>
      <c r="G38" s="35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40">
        <f t="shared" si="0"/>
        <v>0</v>
      </c>
      <c r="AN38" s="40" t="e">
        <f t="shared" si="1"/>
        <v>#DIV/0!</v>
      </c>
      <c r="AO38" s="40">
        <f t="shared" si="2"/>
        <v>0</v>
      </c>
    </row>
    <row r="39" spans="1:41" ht="21" x14ac:dyDescent="0.35">
      <c r="A39" s="26" t="s">
        <v>224</v>
      </c>
      <c r="B39" s="35"/>
      <c r="C39" s="57" t="s">
        <v>195</v>
      </c>
      <c r="D39" s="50"/>
      <c r="E39" s="35"/>
      <c r="F39" s="35"/>
      <c r="G39" s="35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40">
        <f t="shared" si="0"/>
        <v>0</v>
      </c>
      <c r="AN39" s="40" t="e">
        <f t="shared" si="1"/>
        <v>#DIV/0!</v>
      </c>
      <c r="AO39" s="40">
        <f t="shared" si="2"/>
        <v>0</v>
      </c>
    </row>
    <row r="40" spans="1:41" ht="21" x14ac:dyDescent="0.35">
      <c r="A40" s="35" t="s">
        <v>229</v>
      </c>
      <c r="B40" s="27" t="s">
        <v>230</v>
      </c>
      <c r="C40" s="60" t="s">
        <v>225</v>
      </c>
      <c r="D40" s="50"/>
      <c r="E40" s="35"/>
      <c r="F40" s="35"/>
      <c r="G40" s="35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63"/>
      <c r="AC40" s="63"/>
      <c r="AD40" s="63"/>
      <c r="AE40" s="56"/>
      <c r="AF40" s="56"/>
      <c r="AG40" s="56">
        <v>34154.11</v>
      </c>
      <c r="AH40" s="56"/>
      <c r="AI40" s="56"/>
      <c r="AJ40" s="56"/>
      <c r="AK40" s="56"/>
      <c r="AL40" s="56"/>
      <c r="AM40" s="40">
        <f t="shared" si="0"/>
        <v>34154.11</v>
      </c>
      <c r="AN40" s="40">
        <f t="shared" si="1"/>
        <v>34154.11</v>
      </c>
      <c r="AO40" s="40">
        <f t="shared" si="2"/>
        <v>2903.0993500000004</v>
      </c>
    </row>
    <row r="41" spans="1:41" ht="21" x14ac:dyDescent="0.35">
      <c r="A41" s="27" t="s">
        <v>212</v>
      </c>
      <c r="B41" s="35"/>
      <c r="C41" s="49"/>
      <c r="D41" s="50"/>
      <c r="E41" s="35"/>
      <c r="F41" s="35"/>
      <c r="G41" s="35"/>
      <c r="H41" s="56">
        <v>0</v>
      </c>
      <c r="I41" s="56">
        <v>2116.63</v>
      </c>
      <c r="J41" s="56">
        <v>0</v>
      </c>
      <c r="K41" s="56">
        <v>0</v>
      </c>
      <c r="L41" s="56">
        <v>0</v>
      </c>
      <c r="M41" s="56">
        <v>0</v>
      </c>
      <c r="N41" s="56"/>
      <c r="O41" s="56">
        <v>0</v>
      </c>
      <c r="P41" s="56">
        <v>0</v>
      </c>
      <c r="Q41" s="56">
        <v>0</v>
      </c>
      <c r="R41" s="56">
        <v>2629.8</v>
      </c>
      <c r="S41" s="56">
        <v>0</v>
      </c>
      <c r="T41" s="56">
        <v>0</v>
      </c>
      <c r="U41" s="56">
        <v>0</v>
      </c>
      <c r="V41" s="56">
        <v>2629.8</v>
      </c>
      <c r="W41" s="56">
        <v>0</v>
      </c>
      <c r="X41" s="56">
        <v>0</v>
      </c>
      <c r="Y41" s="56">
        <v>2629.8</v>
      </c>
      <c r="Z41" s="56">
        <v>0</v>
      </c>
      <c r="AA41" s="56">
        <v>0</v>
      </c>
      <c r="AB41" s="56">
        <v>0</v>
      </c>
      <c r="AC41" s="56">
        <v>0</v>
      </c>
      <c r="AD41" s="56">
        <v>0</v>
      </c>
      <c r="AE41" s="56">
        <v>0</v>
      </c>
      <c r="AF41" s="56">
        <v>0</v>
      </c>
      <c r="AG41" s="56">
        <v>0</v>
      </c>
      <c r="AH41" s="56">
        <v>0</v>
      </c>
      <c r="AI41" s="56">
        <v>0</v>
      </c>
      <c r="AJ41" s="56">
        <v>0</v>
      </c>
      <c r="AK41" s="56">
        <v>0</v>
      </c>
      <c r="AL41" s="56">
        <v>0</v>
      </c>
      <c r="AM41" s="40">
        <f t="shared" si="0"/>
        <v>10006.030000000001</v>
      </c>
      <c r="AN41" s="40">
        <f t="shared" si="1"/>
        <v>345.03551724137935</v>
      </c>
      <c r="AO41" s="40">
        <f t="shared" si="2"/>
        <v>850.51255000000015</v>
      </c>
    </row>
    <row r="42" spans="1:41" ht="21" x14ac:dyDescent="0.35">
      <c r="C42" s="34" t="s">
        <v>1</v>
      </c>
      <c r="D42" s="35"/>
      <c r="E42" s="34"/>
      <c r="H42" s="38">
        <f>SUM(H5:H35)</f>
        <v>89766.45</v>
      </c>
      <c r="I42" s="38">
        <f>SUM(I5:I41)</f>
        <v>54032.06</v>
      </c>
      <c r="J42" s="38">
        <f>SUM(J5:J35)</f>
        <v>70788.149999999994</v>
      </c>
      <c r="K42" s="38">
        <f>SUM(K5:K35)</f>
        <v>62726.880000000005</v>
      </c>
      <c r="L42" s="38">
        <f t="shared" ref="L42:T42" si="3">SUM(L5:L41)</f>
        <v>0</v>
      </c>
      <c r="M42" s="38">
        <f t="shared" si="3"/>
        <v>57325.409999999996</v>
      </c>
      <c r="N42" s="38">
        <f t="shared" si="3"/>
        <v>74095.48</v>
      </c>
      <c r="O42" s="38">
        <f t="shared" si="3"/>
        <v>62322.18</v>
      </c>
      <c r="P42" s="38">
        <f t="shared" si="3"/>
        <v>41265.929999999993</v>
      </c>
      <c r="Q42" s="38">
        <f t="shared" si="3"/>
        <v>202151.38</v>
      </c>
      <c r="R42" s="38">
        <f t="shared" si="3"/>
        <v>65417.860000000008</v>
      </c>
      <c r="S42" s="38">
        <f t="shared" si="3"/>
        <v>0</v>
      </c>
      <c r="T42" s="38">
        <f t="shared" si="3"/>
        <v>117746.06</v>
      </c>
      <c r="U42" s="38">
        <f>SUM(U5:U35)</f>
        <v>118255.69</v>
      </c>
      <c r="V42" s="38">
        <f>SUM(V5:V41)</f>
        <v>59229.760000000002</v>
      </c>
      <c r="W42" s="38">
        <f>SUM(W5:W35)</f>
        <v>62885.909999999996</v>
      </c>
      <c r="X42" s="38">
        <f>SUM(X5:X35)</f>
        <v>144180.54999999999</v>
      </c>
      <c r="Y42" s="38">
        <f>SUM(Y5:Y41)</f>
        <v>53207.680000000008</v>
      </c>
      <c r="Z42" s="38">
        <f>SUM(Z5:Z35)</f>
        <v>0</v>
      </c>
      <c r="AA42" s="38">
        <f>SUM(AA5:AA35)</f>
        <v>65849.73</v>
      </c>
      <c r="AB42" s="38">
        <f>SUM(AB5:AB35)</f>
        <v>101104.9</v>
      </c>
      <c r="AC42" s="38">
        <f>SUM(AC5:AC35)</f>
        <v>110740.44</v>
      </c>
      <c r="AD42" s="38">
        <f>SUM(AD5:AD35)</f>
        <v>167290.59</v>
      </c>
      <c r="AE42" s="38">
        <f>SUM(AE5:AE41)</f>
        <v>139251.51999999999</v>
      </c>
      <c r="AF42" s="38">
        <f t="shared" ref="AF42:AL42" si="4">SUM(AF5:AF35)</f>
        <v>30695.34</v>
      </c>
      <c r="AG42" s="38">
        <f>SUM(AG5:AG41)</f>
        <v>34154.11</v>
      </c>
      <c r="AH42" s="38">
        <f t="shared" si="4"/>
        <v>55173.67</v>
      </c>
      <c r="AI42" s="38">
        <f t="shared" si="4"/>
        <v>82409.149999999994</v>
      </c>
      <c r="AJ42" s="38">
        <f t="shared" si="4"/>
        <v>54867.88</v>
      </c>
      <c r="AK42" s="38">
        <f t="shared" si="4"/>
        <v>68430.76999999999</v>
      </c>
      <c r="AL42" s="38">
        <f t="shared" si="4"/>
        <v>230981.27</v>
      </c>
      <c r="AM42" s="40">
        <f t="shared" si="0"/>
        <v>2476346.7999999998</v>
      </c>
      <c r="AN42" s="40">
        <f>SUM(AN5:AN35)</f>
        <v>99231.442999999999</v>
      </c>
      <c r="AO42" s="40">
        <f>SUM(AO5:AO35)</f>
        <v>206735.86610000001</v>
      </c>
    </row>
    <row r="43" spans="1:41" x14ac:dyDescent="0.25">
      <c r="D43" s="33" t="s">
        <v>9</v>
      </c>
      <c r="H43" s="24">
        <v>45931</v>
      </c>
      <c r="I43" s="24">
        <v>45932</v>
      </c>
      <c r="J43" s="24">
        <v>45933</v>
      </c>
      <c r="K43" s="24">
        <v>45934</v>
      </c>
      <c r="L43" s="24">
        <v>45935</v>
      </c>
      <c r="M43" s="24">
        <v>45936</v>
      </c>
      <c r="N43" s="24">
        <v>45937</v>
      </c>
      <c r="O43" s="24">
        <v>45938</v>
      </c>
      <c r="P43" s="24">
        <v>45939</v>
      </c>
      <c r="Q43" s="24">
        <v>45940</v>
      </c>
      <c r="R43" s="24">
        <v>45941</v>
      </c>
      <c r="S43" s="24">
        <v>45942</v>
      </c>
      <c r="T43" s="24">
        <v>45943</v>
      </c>
      <c r="U43" s="24">
        <v>45944</v>
      </c>
      <c r="V43" s="24">
        <v>45945</v>
      </c>
      <c r="W43" s="24">
        <v>45946</v>
      </c>
      <c r="X43" s="24">
        <v>45947</v>
      </c>
      <c r="Y43" s="24">
        <v>45948</v>
      </c>
      <c r="Z43" s="24">
        <v>45949</v>
      </c>
      <c r="AA43" s="24">
        <v>45950</v>
      </c>
      <c r="AB43" s="24">
        <v>45951</v>
      </c>
      <c r="AC43" s="24">
        <v>45952</v>
      </c>
      <c r="AD43" s="24">
        <v>45953</v>
      </c>
      <c r="AE43" s="24">
        <v>45954</v>
      </c>
      <c r="AF43" s="24">
        <v>45955</v>
      </c>
      <c r="AG43" s="24">
        <v>45956</v>
      </c>
      <c r="AH43" s="24">
        <v>45957</v>
      </c>
      <c r="AI43" s="24">
        <v>45958</v>
      </c>
      <c r="AJ43" s="24">
        <v>45959</v>
      </c>
      <c r="AK43" s="24">
        <v>45960</v>
      </c>
      <c r="AL43" s="24">
        <v>45961</v>
      </c>
      <c r="AN43" t="s">
        <v>9</v>
      </c>
      <c r="AO43" t="s">
        <v>9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DCE3-7EF1-458B-AB0C-F8426B2BDE1D}">
  <dimension ref="C4:M43"/>
  <sheetViews>
    <sheetView topLeftCell="A16" workbookViewId="0">
      <selection activeCell="G40" sqref="G40:G42"/>
    </sheetView>
  </sheetViews>
  <sheetFormatPr defaultRowHeight="15" x14ac:dyDescent="0.25"/>
  <cols>
    <col min="3" max="3" width="7" bestFit="1" customWidth="1"/>
    <col min="4" max="4" width="14" bestFit="1" customWidth="1"/>
    <col min="5" max="5" width="21.5703125" bestFit="1" customWidth="1"/>
    <col min="6" max="6" width="7" bestFit="1" customWidth="1"/>
    <col min="7" max="7" width="15.5703125" bestFit="1" customWidth="1"/>
    <col min="8" max="9" width="20.42578125" customWidth="1"/>
    <col min="10" max="10" width="16.5703125" bestFit="1" customWidth="1"/>
    <col min="11" max="11" width="27.7109375" customWidth="1"/>
    <col min="12" max="12" width="13.42578125" style="12" customWidth="1"/>
    <col min="13" max="13" width="14.42578125" bestFit="1" customWidth="1"/>
  </cols>
  <sheetData>
    <row r="4" spans="3:13" ht="24" x14ac:dyDescent="0.4">
      <c r="C4" s="88" t="s">
        <v>10</v>
      </c>
      <c r="D4" s="88"/>
      <c r="E4" s="88"/>
      <c r="F4" s="88"/>
      <c r="G4" s="88"/>
      <c r="H4" s="88"/>
      <c r="I4" s="88"/>
      <c r="J4" s="88"/>
      <c r="K4" s="88"/>
    </row>
    <row r="5" spans="3:13" ht="19.5" thickBot="1" x14ac:dyDescent="0.35">
      <c r="C5" s="13"/>
      <c r="D5" s="13"/>
      <c r="E5" s="13"/>
      <c r="F5" s="13"/>
      <c r="G5" s="13"/>
      <c r="H5" s="13"/>
      <c r="I5" s="13"/>
      <c r="J5" s="13"/>
      <c r="K5" s="13"/>
    </row>
    <row r="6" spans="3:13" ht="15.75" thickBot="1" x14ac:dyDescent="0.3">
      <c r="C6" s="20" t="s">
        <v>15</v>
      </c>
      <c r="D6" s="21" t="s">
        <v>14</v>
      </c>
      <c r="E6" s="21" t="s">
        <v>16</v>
      </c>
      <c r="F6" s="21"/>
      <c r="G6" s="22" t="s">
        <v>17</v>
      </c>
    </row>
    <row r="7" spans="3:13" x14ac:dyDescent="0.25">
      <c r="C7" s="16">
        <v>4</v>
      </c>
      <c r="D7" s="17" t="s">
        <v>11</v>
      </c>
      <c r="E7" s="18">
        <v>70000</v>
      </c>
      <c r="F7" s="17"/>
      <c r="G7" s="19">
        <f>E7*C7</f>
        <v>280000</v>
      </c>
    </row>
    <row r="8" spans="3:13" ht="15.75" thickBot="1" x14ac:dyDescent="0.3">
      <c r="C8" s="16">
        <v>27</v>
      </c>
      <c r="D8" s="17" t="s">
        <v>12</v>
      </c>
      <c r="E8" s="18">
        <v>100000</v>
      </c>
      <c r="F8" s="17"/>
      <c r="G8" s="19">
        <f>E8*C8</f>
        <v>2700000</v>
      </c>
    </row>
    <row r="9" spans="3:13" ht="15.75" thickBot="1" x14ac:dyDescent="0.3">
      <c r="C9" s="20"/>
      <c r="D9" s="21"/>
      <c r="E9" s="21" t="s">
        <v>13</v>
      </c>
      <c r="F9" s="21"/>
      <c r="G9" s="23">
        <f>SUM(G7:G8)</f>
        <v>2980000</v>
      </c>
    </row>
    <row r="11" spans="3:13" x14ac:dyDescent="0.25">
      <c r="G11" s="1" t="s">
        <v>0</v>
      </c>
    </row>
    <row r="12" spans="3:13" ht="30.75" x14ac:dyDescent="0.3">
      <c r="C12" s="41" t="s">
        <v>1</v>
      </c>
      <c r="D12" s="42" t="s">
        <v>2</v>
      </c>
      <c r="E12" s="42" t="s">
        <v>3</v>
      </c>
      <c r="F12" s="41" t="s">
        <v>1</v>
      </c>
      <c r="G12" s="43" t="s">
        <v>4</v>
      </c>
      <c r="H12" s="43" t="s">
        <v>5</v>
      </c>
      <c r="I12" s="43" t="s">
        <v>6</v>
      </c>
      <c r="J12" s="41" t="s">
        <v>7</v>
      </c>
      <c r="K12" s="41" t="s">
        <v>8</v>
      </c>
      <c r="L12" s="45" t="s">
        <v>211</v>
      </c>
      <c r="M12" s="44" t="s">
        <v>210</v>
      </c>
    </row>
    <row r="13" spans="3:13" x14ac:dyDescent="0.25">
      <c r="C13" s="2">
        <v>45962</v>
      </c>
      <c r="D13" s="3">
        <f>AVERAGE(G13)</f>
        <v>80572.69</v>
      </c>
      <c r="E13" s="3">
        <f>D13*30</f>
        <v>2417180.7000000002</v>
      </c>
      <c r="F13" s="2">
        <v>45962</v>
      </c>
      <c r="G13" s="4">
        <f>'PRODUÇAO (NOV)'!H41</f>
        <v>80572.69</v>
      </c>
      <c r="H13" s="5">
        <f>G13</f>
        <v>80572.69</v>
      </c>
      <c r="I13" s="6">
        <f>H13/3000000</f>
        <v>2.6857563333333334E-2</v>
      </c>
      <c r="J13" s="5">
        <f>H13*30</f>
        <v>2417180.7000000002</v>
      </c>
      <c r="K13" s="7">
        <f>J13-3000000</f>
        <v>-582819.29999999981</v>
      </c>
      <c r="L13" s="46">
        <f>J13/3000000</f>
        <v>0.80572690000000002</v>
      </c>
      <c r="M13" s="15">
        <f>G13*8.6%</f>
        <v>6929.2513399999998</v>
      </c>
    </row>
    <row r="14" spans="3:13" x14ac:dyDescent="0.25">
      <c r="C14" s="2">
        <v>45963</v>
      </c>
      <c r="D14" s="3">
        <f>AVERAGE(G13:G14)</f>
        <v>40286.345000000001</v>
      </c>
      <c r="E14" s="3">
        <f t="shared" ref="E14:E42" si="0">D14*30</f>
        <v>1208590.3500000001</v>
      </c>
      <c r="F14" s="2">
        <v>45963</v>
      </c>
      <c r="G14" s="4">
        <f>'PRODUÇAO (NOV)'!I41</f>
        <v>0</v>
      </c>
      <c r="H14" s="8">
        <f>H13+G14</f>
        <v>80572.69</v>
      </c>
      <c r="I14" s="6">
        <f t="shared" ref="I14:I43" si="1">H14/3000000</f>
        <v>2.6857563333333334E-2</v>
      </c>
      <c r="J14" s="9">
        <f>H14/2*30</f>
        <v>1208590.3500000001</v>
      </c>
      <c r="K14" s="7">
        <f t="shared" ref="K14:K43" si="2">J14-3000000</f>
        <v>-1791409.65</v>
      </c>
      <c r="L14" s="46">
        <f>J14/3000000</f>
        <v>0.40286345000000001</v>
      </c>
      <c r="M14" s="15">
        <f t="shared" ref="M14:M43" si="3">G14*8.6%</f>
        <v>0</v>
      </c>
    </row>
    <row r="15" spans="3:13" x14ac:dyDescent="0.25">
      <c r="C15" s="2">
        <v>45964</v>
      </c>
      <c r="D15" s="3">
        <f>AVERAGE(G13:G15)</f>
        <v>35815.896666666667</v>
      </c>
      <c r="E15" s="3">
        <f t="shared" si="0"/>
        <v>1074476.8999999999</v>
      </c>
      <c r="F15" s="2">
        <v>45964</v>
      </c>
      <c r="G15" s="4">
        <f>'PRODUÇAO (NOV)'!J41</f>
        <v>26875</v>
      </c>
      <c r="H15" s="8">
        <f t="shared" ref="H15:H43" si="4">H14+G15</f>
        <v>107447.69</v>
      </c>
      <c r="I15" s="6">
        <f t="shared" si="1"/>
        <v>3.5815896666666666E-2</v>
      </c>
      <c r="J15" s="9">
        <f>H15/3*30</f>
        <v>1074476.8999999999</v>
      </c>
      <c r="K15" s="7">
        <f t="shared" si="2"/>
        <v>-1925523.1</v>
      </c>
      <c r="L15" s="46">
        <f t="shared" ref="L15:L43" si="5">J15/3000000</f>
        <v>0.35815896666666663</v>
      </c>
      <c r="M15" s="15">
        <f t="shared" si="3"/>
        <v>2311.25</v>
      </c>
    </row>
    <row r="16" spans="3:13" x14ac:dyDescent="0.25">
      <c r="C16" s="2">
        <v>45965</v>
      </c>
      <c r="D16" s="3">
        <f>AVERAGE(G13:G16)</f>
        <v>44723.06</v>
      </c>
      <c r="E16" s="3">
        <f t="shared" si="0"/>
        <v>1341691.7999999998</v>
      </c>
      <c r="F16" s="2">
        <v>45965</v>
      </c>
      <c r="G16" s="4">
        <f>'PRODUÇAO (NOV)'!K41</f>
        <v>71444.55</v>
      </c>
      <c r="H16" s="8">
        <f>H15+G16</f>
        <v>178892.24</v>
      </c>
      <c r="I16" s="6">
        <f t="shared" si="1"/>
        <v>5.9630746666666665E-2</v>
      </c>
      <c r="J16" s="9">
        <f>H16/4*30</f>
        <v>1341691.7999999998</v>
      </c>
      <c r="K16" s="7">
        <f t="shared" si="2"/>
        <v>-1658308.2000000002</v>
      </c>
      <c r="L16" s="46">
        <f t="shared" si="5"/>
        <v>0.44723059999999992</v>
      </c>
      <c r="M16" s="15">
        <f t="shared" si="3"/>
        <v>6144.2312999999995</v>
      </c>
    </row>
    <row r="17" spans="3:13" x14ac:dyDescent="0.25">
      <c r="C17" s="2">
        <v>45966</v>
      </c>
      <c r="D17" s="3">
        <f>AVERAGE(G13:G17)</f>
        <v>53797.990000000005</v>
      </c>
      <c r="E17" s="3">
        <f t="shared" si="0"/>
        <v>1613939.7000000002</v>
      </c>
      <c r="F17" s="2">
        <v>45966</v>
      </c>
      <c r="G17" s="4">
        <f>'PRODUÇAO (NOV)'!L41</f>
        <v>90097.71</v>
      </c>
      <c r="H17" s="8">
        <f t="shared" si="4"/>
        <v>268989.95</v>
      </c>
      <c r="I17" s="6">
        <f t="shared" si="1"/>
        <v>8.9663316666666673E-2</v>
      </c>
      <c r="J17" s="9">
        <f>H17/5*30</f>
        <v>1613939.7000000002</v>
      </c>
      <c r="K17" s="7">
        <f t="shared" si="2"/>
        <v>-1386060.2999999998</v>
      </c>
      <c r="L17" s="46">
        <f t="shared" si="5"/>
        <v>0.53797990000000007</v>
      </c>
      <c r="M17" s="15">
        <f t="shared" si="3"/>
        <v>7748.4030599999996</v>
      </c>
    </row>
    <row r="18" spans="3:13" x14ac:dyDescent="0.25">
      <c r="C18" s="2">
        <v>45967</v>
      </c>
      <c r="D18" s="3">
        <f>AVERAGE(G13:G18)</f>
        <v>52073.325000000004</v>
      </c>
      <c r="E18" s="3">
        <f t="shared" si="0"/>
        <v>1562199.7500000002</v>
      </c>
      <c r="F18" s="2">
        <v>45967</v>
      </c>
      <c r="G18" s="4">
        <f>'PRODUÇAO (NOV)'!M41</f>
        <v>43450</v>
      </c>
      <c r="H18" s="8">
        <f>H17+G18</f>
        <v>312439.95</v>
      </c>
      <c r="I18" s="6">
        <f t="shared" si="1"/>
        <v>0.10414665000000001</v>
      </c>
      <c r="J18" s="9">
        <f>H18/6*30</f>
        <v>1562199.7500000002</v>
      </c>
      <c r="K18" s="7">
        <f t="shared" si="2"/>
        <v>-1437800.2499999998</v>
      </c>
      <c r="L18" s="46">
        <f t="shared" si="5"/>
        <v>0.52073325000000004</v>
      </c>
      <c r="M18" s="15">
        <f t="shared" si="3"/>
        <v>3736.7</v>
      </c>
    </row>
    <row r="19" spans="3:13" x14ac:dyDescent="0.25">
      <c r="C19" s="2">
        <v>45968</v>
      </c>
      <c r="D19" s="3">
        <f>AVERAGE(G13:G19)</f>
        <v>59701.532857142854</v>
      </c>
      <c r="E19" s="3">
        <f t="shared" si="0"/>
        <v>1791045.9857142856</v>
      </c>
      <c r="F19" s="2">
        <v>45968</v>
      </c>
      <c r="G19" s="4">
        <f>'PRODUÇAO (NOV)'!N41</f>
        <v>105470.78</v>
      </c>
      <c r="H19" s="8">
        <f t="shared" si="4"/>
        <v>417910.73</v>
      </c>
      <c r="I19" s="6">
        <f t="shared" si="1"/>
        <v>0.13930357666666665</v>
      </c>
      <c r="J19" s="9">
        <f>H19/7*30</f>
        <v>1791045.9857142856</v>
      </c>
      <c r="K19" s="7">
        <f t="shared" si="2"/>
        <v>-1208954.0142857144</v>
      </c>
      <c r="L19" s="46">
        <f t="shared" si="5"/>
        <v>0.59701532857142858</v>
      </c>
      <c r="M19" s="15">
        <f t="shared" si="3"/>
        <v>9070.487079999999</v>
      </c>
    </row>
    <row r="20" spans="3:13" x14ac:dyDescent="0.25">
      <c r="C20" s="2">
        <v>45969</v>
      </c>
      <c r="D20" s="3">
        <f>AVERAGE(G13:G20)</f>
        <v>59681.548750000002</v>
      </c>
      <c r="E20" s="3">
        <f t="shared" si="0"/>
        <v>1790446.4625000001</v>
      </c>
      <c r="F20" s="2">
        <v>45969</v>
      </c>
      <c r="G20" s="4">
        <f>'PRODUÇAO (NOV)'!O41</f>
        <v>59541.66</v>
      </c>
      <c r="H20" s="8">
        <f t="shared" si="4"/>
        <v>477452.39</v>
      </c>
      <c r="I20" s="6">
        <f t="shared" si="1"/>
        <v>0.15915079666666668</v>
      </c>
      <c r="J20" s="9">
        <f>H20/8*30</f>
        <v>1790446.4625000001</v>
      </c>
      <c r="K20" s="7">
        <f t="shared" si="2"/>
        <v>-1209553.5374999999</v>
      </c>
      <c r="L20" s="46">
        <f t="shared" si="5"/>
        <v>0.59681548750000002</v>
      </c>
      <c r="M20" s="15">
        <f t="shared" si="3"/>
        <v>5120.5827600000002</v>
      </c>
    </row>
    <row r="21" spans="3:13" x14ac:dyDescent="0.25">
      <c r="C21" s="2">
        <v>45970</v>
      </c>
      <c r="D21" s="3">
        <f>AVERAGE(G13:G21)</f>
        <v>59045.821111111116</v>
      </c>
      <c r="E21" s="3">
        <f t="shared" si="0"/>
        <v>1771374.6333333335</v>
      </c>
      <c r="F21" s="2">
        <v>45970</v>
      </c>
      <c r="G21" s="4">
        <f>'PRODUÇAO (NOV)'!P41</f>
        <v>53960</v>
      </c>
      <c r="H21" s="8">
        <f t="shared" si="4"/>
        <v>531412.39</v>
      </c>
      <c r="I21" s="6">
        <f t="shared" si="1"/>
        <v>0.17713746333333333</v>
      </c>
      <c r="J21" s="9">
        <f>H21/9*30</f>
        <v>1771374.6333333335</v>
      </c>
      <c r="K21" s="7">
        <f t="shared" si="2"/>
        <v>-1228625.3666666665</v>
      </c>
      <c r="L21" s="46">
        <f t="shared" si="5"/>
        <v>0.59045821111111119</v>
      </c>
      <c r="M21" s="15">
        <f t="shared" si="3"/>
        <v>4640.5599999999995</v>
      </c>
    </row>
    <row r="22" spans="3:13" x14ac:dyDescent="0.25">
      <c r="C22" s="2">
        <v>45971</v>
      </c>
      <c r="D22" s="3">
        <f>AVERAGE(G13:G22)</f>
        <v>56405.512000000002</v>
      </c>
      <c r="E22" s="3">
        <f t="shared" si="0"/>
        <v>1692165.36</v>
      </c>
      <c r="F22" s="2">
        <v>45971</v>
      </c>
      <c r="G22" s="4">
        <f>'PRODUÇAO (NOV)'!Q41</f>
        <v>32642.73</v>
      </c>
      <c r="H22" s="8">
        <f t="shared" si="4"/>
        <v>564055.12</v>
      </c>
      <c r="I22" s="6">
        <f t="shared" si="1"/>
        <v>0.18801837333333332</v>
      </c>
      <c r="J22" s="9">
        <f>H22/10*30</f>
        <v>1692165.36</v>
      </c>
      <c r="K22" s="7">
        <f t="shared" si="2"/>
        <v>-1307834.6399999999</v>
      </c>
      <c r="L22" s="46">
        <f t="shared" si="5"/>
        <v>0.56405512000000002</v>
      </c>
      <c r="M22" s="15">
        <f t="shared" si="3"/>
        <v>2807.2747799999997</v>
      </c>
    </row>
    <row r="23" spans="3:13" x14ac:dyDescent="0.25">
      <c r="C23" s="2">
        <v>45972</v>
      </c>
      <c r="D23" s="3">
        <f>AVERAGE(G13:G23)</f>
        <v>58664.748181818177</v>
      </c>
      <c r="E23" s="3">
        <f t="shared" si="0"/>
        <v>1759942.4454545453</v>
      </c>
      <c r="F23" s="2">
        <v>45972</v>
      </c>
      <c r="G23" s="4">
        <f>'PRODUÇAO (NOV)'!R41</f>
        <v>81257.109999999986</v>
      </c>
      <c r="H23" s="8">
        <f t="shared" si="4"/>
        <v>645312.23</v>
      </c>
      <c r="I23" s="6">
        <f t="shared" si="1"/>
        <v>0.21510407666666667</v>
      </c>
      <c r="J23" s="9">
        <f>H23/11*30</f>
        <v>1759942.4454545453</v>
      </c>
      <c r="K23" s="7">
        <f t="shared" si="2"/>
        <v>-1240057.5545454547</v>
      </c>
      <c r="L23" s="46">
        <f t="shared" si="5"/>
        <v>0.58664748181818183</v>
      </c>
      <c r="M23" s="15">
        <f t="shared" si="3"/>
        <v>6988.1114599999983</v>
      </c>
    </row>
    <row r="24" spans="3:13" x14ac:dyDescent="0.25">
      <c r="C24" s="2">
        <v>45973</v>
      </c>
      <c r="D24" s="3">
        <f>AVERAGE(G13:G24)</f>
        <v>63888.424166666664</v>
      </c>
      <c r="E24" s="3">
        <f t="shared" si="0"/>
        <v>1916652.7249999999</v>
      </c>
      <c r="F24" s="2">
        <v>45973</v>
      </c>
      <c r="G24" s="4">
        <f>'PRODUÇAO (NOV)'!S41</f>
        <v>121348.86</v>
      </c>
      <c r="H24" s="8">
        <f t="shared" si="4"/>
        <v>766661.09</v>
      </c>
      <c r="I24" s="6">
        <f t="shared" si="1"/>
        <v>0.25555369666666666</v>
      </c>
      <c r="J24" s="9">
        <f>H24/12*30</f>
        <v>1916652.7249999999</v>
      </c>
      <c r="K24" s="7">
        <f t="shared" si="2"/>
        <v>-1083347.2750000001</v>
      </c>
      <c r="L24" s="46">
        <f t="shared" si="5"/>
        <v>0.63888424166666657</v>
      </c>
      <c r="M24" s="15">
        <f t="shared" si="3"/>
        <v>10436.00196</v>
      </c>
    </row>
    <row r="25" spans="3:13" x14ac:dyDescent="0.25">
      <c r="C25" s="2">
        <v>45974</v>
      </c>
      <c r="D25" s="3">
        <f>AVERAGE(G13:G25)</f>
        <v>63830.649230769224</v>
      </c>
      <c r="E25" s="3">
        <f t="shared" si="0"/>
        <v>1914919.4769230767</v>
      </c>
      <c r="F25" s="2">
        <v>45974</v>
      </c>
      <c r="G25" s="4">
        <f>'PRODUÇAO (NOV)'!T41</f>
        <v>63137.350000000006</v>
      </c>
      <c r="H25" s="8">
        <f t="shared" si="4"/>
        <v>829798.44</v>
      </c>
      <c r="I25" s="6">
        <f t="shared" si="1"/>
        <v>0.27659948000000001</v>
      </c>
      <c r="J25" s="9">
        <f>H25/13*30</f>
        <v>1914919.4769230767</v>
      </c>
      <c r="K25" s="7">
        <f t="shared" si="2"/>
        <v>-1085080.5230769233</v>
      </c>
      <c r="L25" s="46">
        <f t="shared" si="5"/>
        <v>0.63830649230769221</v>
      </c>
      <c r="M25" s="15">
        <f t="shared" si="3"/>
        <v>5429.8121000000001</v>
      </c>
    </row>
    <row r="26" spans="3:13" x14ac:dyDescent="0.25">
      <c r="C26" s="2">
        <v>45975</v>
      </c>
      <c r="D26" s="3">
        <f>AVERAGE(G13:G26)</f>
        <v>62492.749285714286</v>
      </c>
      <c r="E26" s="3">
        <f t="shared" si="0"/>
        <v>1874782.4785714287</v>
      </c>
      <c r="F26" s="2">
        <v>45975</v>
      </c>
      <c r="G26" s="4">
        <f>'PRODUÇAO (NOV)'!U41</f>
        <v>45100.049999999996</v>
      </c>
      <c r="H26" s="8">
        <f t="shared" si="4"/>
        <v>874898.49</v>
      </c>
      <c r="I26" s="6">
        <f t="shared" si="1"/>
        <v>0.29163283000000001</v>
      </c>
      <c r="J26" s="9">
        <f>H26/14*30</f>
        <v>1874782.4785714287</v>
      </c>
      <c r="K26" s="7">
        <f t="shared" si="2"/>
        <v>-1125217.5214285713</v>
      </c>
      <c r="L26" s="46">
        <f t="shared" si="5"/>
        <v>0.62492749285714289</v>
      </c>
      <c r="M26" s="15">
        <f t="shared" si="3"/>
        <v>3878.6042999999995</v>
      </c>
    </row>
    <row r="27" spans="3:13" x14ac:dyDescent="0.25">
      <c r="C27" s="2">
        <v>45976</v>
      </c>
      <c r="D27" s="3">
        <f>AVERAGE(G13:G27)</f>
        <v>66012.009333333335</v>
      </c>
      <c r="E27" s="3">
        <f t="shared" si="0"/>
        <v>1980360.28</v>
      </c>
      <c r="F27" s="2">
        <v>45976</v>
      </c>
      <c r="G27" s="4">
        <f>'PRODUÇAO (NOV)'!V41</f>
        <v>115281.65</v>
      </c>
      <c r="H27" s="8">
        <f t="shared" si="4"/>
        <v>990180.14</v>
      </c>
      <c r="I27" s="6">
        <f t="shared" si="1"/>
        <v>0.33006004666666666</v>
      </c>
      <c r="J27" s="9">
        <f>H27/15*30</f>
        <v>1980360.28</v>
      </c>
      <c r="K27" s="7">
        <f t="shared" si="2"/>
        <v>-1019639.72</v>
      </c>
      <c r="L27" s="46">
        <f t="shared" si="5"/>
        <v>0.66012009333333332</v>
      </c>
      <c r="M27" s="15">
        <f t="shared" si="3"/>
        <v>9914.2218999999986</v>
      </c>
    </row>
    <row r="28" spans="3:13" x14ac:dyDescent="0.25">
      <c r="C28" s="2">
        <v>45977</v>
      </c>
      <c r="D28" s="3">
        <f>AVERAGE(G13:G28)</f>
        <v>61886.258750000001</v>
      </c>
      <c r="E28" s="3">
        <f t="shared" si="0"/>
        <v>1856587.7625</v>
      </c>
      <c r="F28" s="2">
        <v>45977</v>
      </c>
      <c r="G28" s="4">
        <f>'PRODUÇAO (NOV)'!I61</f>
        <v>0</v>
      </c>
      <c r="H28" s="8">
        <f t="shared" si="4"/>
        <v>990180.14</v>
      </c>
      <c r="I28" s="6">
        <f t="shared" si="1"/>
        <v>0.33006004666666666</v>
      </c>
      <c r="J28" s="9">
        <f>H28/16*30</f>
        <v>1856587.7625</v>
      </c>
      <c r="K28" s="7">
        <f t="shared" si="2"/>
        <v>-1143412.2375</v>
      </c>
      <c r="L28" s="46">
        <f t="shared" si="5"/>
        <v>0.61886258750000001</v>
      </c>
      <c r="M28" s="15">
        <f t="shared" si="3"/>
        <v>0</v>
      </c>
    </row>
    <row r="29" spans="3:13" x14ac:dyDescent="0.25">
      <c r="C29" s="2">
        <v>45978</v>
      </c>
      <c r="D29" s="3">
        <f>AVERAGE(G13:G29)</f>
        <v>62486.266470588234</v>
      </c>
      <c r="E29" s="3">
        <f t="shared" si="0"/>
        <v>1874587.9941176469</v>
      </c>
      <c r="F29" s="2">
        <v>45978</v>
      </c>
      <c r="G29" s="4">
        <f>'PRODUÇAO (NOV)'!X41</f>
        <v>72086.39</v>
      </c>
      <c r="H29" s="8">
        <f t="shared" si="4"/>
        <v>1062266.53</v>
      </c>
      <c r="I29" s="6">
        <f t="shared" si="1"/>
        <v>0.35408884333333335</v>
      </c>
      <c r="J29" s="9">
        <f>H29/17*30</f>
        <v>1874587.9941176469</v>
      </c>
      <c r="K29" s="7">
        <f t="shared" si="2"/>
        <v>-1125412.0058823531</v>
      </c>
      <c r="L29" s="46">
        <f t="shared" si="5"/>
        <v>0.62486266470588236</v>
      </c>
      <c r="M29" s="15">
        <f t="shared" si="3"/>
        <v>6199.4295399999992</v>
      </c>
    </row>
    <row r="30" spans="3:13" x14ac:dyDescent="0.25">
      <c r="C30" s="2">
        <v>45979</v>
      </c>
      <c r="D30" s="3">
        <f>AVERAGE(G13:G30)</f>
        <v>62310.418333333335</v>
      </c>
      <c r="E30" s="3">
        <f t="shared" si="0"/>
        <v>1869312.55</v>
      </c>
      <c r="F30" s="2">
        <v>45979</v>
      </c>
      <c r="G30" s="4">
        <f>'PRODUÇAO (NOV)'!Y41</f>
        <v>59321</v>
      </c>
      <c r="H30" s="8">
        <f t="shared" si="4"/>
        <v>1121587.53</v>
      </c>
      <c r="I30" s="6">
        <f t="shared" si="1"/>
        <v>0.37386251000000004</v>
      </c>
      <c r="J30" s="9">
        <f>H30/18*30</f>
        <v>1869312.55</v>
      </c>
      <c r="K30" s="7">
        <f t="shared" si="2"/>
        <v>-1130687.45</v>
      </c>
      <c r="L30" s="46">
        <f t="shared" si="5"/>
        <v>0.62310418333333339</v>
      </c>
      <c r="M30" s="15">
        <f t="shared" si="3"/>
        <v>5101.6059999999998</v>
      </c>
    </row>
    <row r="31" spans="3:13" x14ac:dyDescent="0.25">
      <c r="C31" s="2">
        <v>45980</v>
      </c>
      <c r="D31" s="3">
        <f>AVERAGE(G13:G31)</f>
        <v>64680.398421052632</v>
      </c>
      <c r="E31" s="3">
        <f t="shared" si="0"/>
        <v>1940411.952631579</v>
      </c>
      <c r="F31" s="2">
        <v>45980</v>
      </c>
      <c r="G31" s="4">
        <f>'PRODUÇAO (NOV)'!Z41</f>
        <v>107340.04000000001</v>
      </c>
      <c r="H31" s="8">
        <f t="shared" si="4"/>
        <v>1228927.57</v>
      </c>
      <c r="I31" s="6">
        <f t="shared" si="1"/>
        <v>0.40964252333333334</v>
      </c>
      <c r="J31" s="9">
        <f>H31/19*30</f>
        <v>1940411.952631579</v>
      </c>
      <c r="K31" s="7">
        <f t="shared" si="2"/>
        <v>-1059588.047368421</v>
      </c>
      <c r="L31" s="46">
        <f t="shared" si="5"/>
        <v>0.64680398421052632</v>
      </c>
      <c r="M31" s="15">
        <f t="shared" si="3"/>
        <v>9231.2434400000002</v>
      </c>
    </row>
    <row r="32" spans="3:13" x14ac:dyDescent="0.25">
      <c r="C32" s="2">
        <v>45981</v>
      </c>
      <c r="D32" s="3">
        <f>AVERAGE(G13:G32)</f>
        <v>67114.769500000009</v>
      </c>
      <c r="E32" s="3">
        <f t="shared" si="0"/>
        <v>2013443.0850000002</v>
      </c>
      <c r="F32" s="2">
        <v>45981</v>
      </c>
      <c r="G32" s="4">
        <f>'PRODUÇAO (NOV)'!AA41</f>
        <v>113367.81999999999</v>
      </c>
      <c r="H32" s="8">
        <f t="shared" si="4"/>
        <v>1342295.3900000001</v>
      </c>
      <c r="I32" s="6">
        <f t="shared" si="1"/>
        <v>0.44743179666666671</v>
      </c>
      <c r="J32" s="9">
        <f>H32/20*30</f>
        <v>2013443.0850000002</v>
      </c>
      <c r="K32" s="7">
        <f t="shared" si="2"/>
        <v>-986556.9149999998</v>
      </c>
      <c r="L32" s="46">
        <f t="shared" si="5"/>
        <v>0.67114769500000004</v>
      </c>
      <c r="M32" s="15">
        <f t="shared" si="3"/>
        <v>9749.6325199999992</v>
      </c>
    </row>
    <row r="33" spans="3:13" x14ac:dyDescent="0.25">
      <c r="C33" s="2">
        <v>45982</v>
      </c>
      <c r="D33" s="3">
        <f>AVERAGE(G13:G33)</f>
        <v>72348.193809523815</v>
      </c>
      <c r="E33" s="3">
        <f t="shared" si="0"/>
        <v>2170445.8142857146</v>
      </c>
      <c r="F33" s="2">
        <v>45982</v>
      </c>
      <c r="G33" s="4">
        <f>'PRODUÇAO (NOV)'!AB41</f>
        <v>177016.68</v>
      </c>
      <c r="H33" s="8">
        <f t="shared" si="4"/>
        <v>1519312.07</v>
      </c>
      <c r="I33" s="6">
        <f t="shared" si="1"/>
        <v>0.50643735666666667</v>
      </c>
      <c r="J33" s="9">
        <f>H33/21*30</f>
        <v>2170445.8142857146</v>
      </c>
      <c r="K33" s="7">
        <f t="shared" si="2"/>
        <v>-829554.18571428536</v>
      </c>
      <c r="L33" s="46">
        <f t="shared" si="5"/>
        <v>0.7234819380952382</v>
      </c>
      <c r="M33" s="15">
        <f t="shared" si="3"/>
        <v>15223.434479999998</v>
      </c>
    </row>
    <row r="34" spans="3:13" x14ac:dyDescent="0.25">
      <c r="C34" s="2">
        <v>45983</v>
      </c>
      <c r="D34" s="3">
        <f>AVERAGE(G13:G34)</f>
        <v>71352.70818181819</v>
      </c>
      <c r="E34" s="3">
        <f t="shared" si="0"/>
        <v>2140581.2454545456</v>
      </c>
      <c r="F34" s="2">
        <v>45983</v>
      </c>
      <c r="G34" s="4">
        <f>'PRODUÇAO (NOV)'!AC41</f>
        <v>50447.509999999995</v>
      </c>
      <c r="H34" s="8">
        <f t="shared" si="4"/>
        <v>1569759.58</v>
      </c>
      <c r="I34" s="6">
        <f t="shared" si="1"/>
        <v>0.52325319333333331</v>
      </c>
      <c r="J34" s="9">
        <f>H34/22*30</f>
        <v>2140581.2454545456</v>
      </c>
      <c r="K34" s="7">
        <f t="shared" si="2"/>
        <v>-859418.7545454544</v>
      </c>
      <c r="L34" s="46">
        <f t="shared" si="5"/>
        <v>0.71352708181818192</v>
      </c>
      <c r="M34" s="15">
        <f t="shared" si="3"/>
        <v>4338.4858599999989</v>
      </c>
    </row>
    <row r="35" spans="3:13" x14ac:dyDescent="0.25">
      <c r="C35" s="2">
        <v>45984</v>
      </c>
      <c r="D35" s="3">
        <f>AVERAGE(G13:G35)</f>
        <v>69206.938260869574</v>
      </c>
      <c r="E35" s="3">
        <f t="shared" si="0"/>
        <v>2076208.1478260872</v>
      </c>
      <c r="F35" s="2">
        <v>45984</v>
      </c>
      <c r="G35" s="4">
        <f>'PRODUÇAO (NOV)'!AD41</f>
        <v>22000</v>
      </c>
      <c r="H35" s="8">
        <f t="shared" si="4"/>
        <v>1591759.58</v>
      </c>
      <c r="I35" s="6">
        <f t="shared" si="1"/>
        <v>0.53058652666666672</v>
      </c>
      <c r="J35" s="9">
        <f>H35/23*30</f>
        <v>2076208.1478260872</v>
      </c>
      <c r="K35" s="7">
        <f t="shared" si="2"/>
        <v>-923791.8521739128</v>
      </c>
      <c r="L35" s="46">
        <f t="shared" si="5"/>
        <v>0.69206938260869577</v>
      </c>
      <c r="M35" s="15">
        <f t="shared" si="3"/>
        <v>1891.9999999999998</v>
      </c>
    </row>
    <row r="36" spans="3:13" x14ac:dyDescent="0.25">
      <c r="C36" s="2">
        <v>45985</v>
      </c>
      <c r="D36" s="3">
        <f>AVERAGE(G13:G36)</f>
        <v>69403.538750000007</v>
      </c>
      <c r="E36" s="3">
        <f t="shared" si="0"/>
        <v>2082106.1625000001</v>
      </c>
      <c r="F36" s="2">
        <v>45985</v>
      </c>
      <c r="G36" s="4">
        <f>'PRODUÇAO (NOV)'!AE41</f>
        <v>73925.350000000006</v>
      </c>
      <c r="H36" s="8">
        <f t="shared" si="4"/>
        <v>1665684.9300000002</v>
      </c>
      <c r="I36" s="6">
        <f t="shared" si="1"/>
        <v>0.55522831000000006</v>
      </c>
      <c r="J36" s="9">
        <f>H36/24*30</f>
        <v>2082106.1625000001</v>
      </c>
      <c r="K36" s="7">
        <f t="shared" si="2"/>
        <v>-917893.83749999991</v>
      </c>
      <c r="L36" s="46">
        <f t="shared" si="5"/>
        <v>0.69403538750000004</v>
      </c>
      <c r="M36" s="15">
        <f t="shared" si="3"/>
        <v>6357.5801000000001</v>
      </c>
    </row>
    <row r="37" spans="3:13" x14ac:dyDescent="0.25">
      <c r="C37" s="2">
        <v>45986</v>
      </c>
      <c r="D37" s="3">
        <f>AVERAGE(G13:G37)</f>
        <v>69584.497600000002</v>
      </c>
      <c r="E37" s="3">
        <f t="shared" si="0"/>
        <v>2087534.9280000001</v>
      </c>
      <c r="F37" s="2">
        <v>45986</v>
      </c>
      <c r="G37" s="4">
        <f>'PRODUÇAO (NOV)'!AF41</f>
        <v>73927.509999999995</v>
      </c>
      <c r="H37" s="8">
        <f t="shared" si="4"/>
        <v>1739612.4400000002</v>
      </c>
      <c r="I37" s="6">
        <f t="shared" si="1"/>
        <v>0.57987081333333335</v>
      </c>
      <c r="J37" s="9">
        <f>H37/25*30</f>
        <v>2087534.9280000001</v>
      </c>
      <c r="K37" s="7">
        <f t="shared" si="2"/>
        <v>-912465.07199999993</v>
      </c>
      <c r="L37" s="46">
        <f t="shared" si="5"/>
        <v>0.69584497600000006</v>
      </c>
      <c r="M37" s="15">
        <f t="shared" si="3"/>
        <v>6357.7658599999986</v>
      </c>
    </row>
    <row r="38" spans="3:13" x14ac:dyDescent="0.25">
      <c r="C38" s="2">
        <v>45987</v>
      </c>
      <c r="D38" s="3">
        <f>AVERAGE(G13:G38)</f>
        <v>70782.953846153861</v>
      </c>
      <c r="E38" s="3">
        <f t="shared" si="0"/>
        <v>2123488.615384616</v>
      </c>
      <c r="F38" s="2">
        <v>45987</v>
      </c>
      <c r="G38" s="4">
        <f>'PRODUÇAO (NOV)'!AG41</f>
        <v>100744.36</v>
      </c>
      <c r="H38" s="8">
        <f t="shared" si="4"/>
        <v>1840356.8000000003</v>
      </c>
      <c r="I38" s="6">
        <f t="shared" si="1"/>
        <v>0.61345226666666675</v>
      </c>
      <c r="J38" s="9">
        <f>H38/26*30</f>
        <v>2123488.615384616</v>
      </c>
      <c r="K38" s="7">
        <f t="shared" si="2"/>
        <v>-876511.38461538404</v>
      </c>
      <c r="L38" s="46">
        <f t="shared" si="5"/>
        <v>0.70782953846153862</v>
      </c>
      <c r="M38" s="15">
        <f t="shared" si="3"/>
        <v>8664.0149599999986</v>
      </c>
    </row>
    <row r="39" spans="3:13" x14ac:dyDescent="0.25">
      <c r="C39" s="2">
        <v>45988</v>
      </c>
      <c r="D39" s="3">
        <f>AVERAGE(G13:G39)</f>
        <v>70599.997407407413</v>
      </c>
      <c r="E39" s="3">
        <f t="shared" si="0"/>
        <v>2117999.9222222222</v>
      </c>
      <c r="F39" s="2">
        <v>45988</v>
      </c>
      <c r="G39" s="4">
        <f>'PRODUÇAO (NOV)'!AH41</f>
        <v>65843.13</v>
      </c>
      <c r="H39" s="8">
        <f t="shared" si="4"/>
        <v>1906199.9300000002</v>
      </c>
      <c r="I39" s="6">
        <f t="shared" si="1"/>
        <v>0.6353999766666667</v>
      </c>
      <c r="J39" s="9">
        <f>H39/27*30</f>
        <v>2117999.9222222222</v>
      </c>
      <c r="K39" s="7">
        <f t="shared" si="2"/>
        <v>-882000.0777777778</v>
      </c>
      <c r="L39" s="46">
        <f t="shared" si="5"/>
        <v>0.70599997407407411</v>
      </c>
      <c r="M39" s="15">
        <f t="shared" si="3"/>
        <v>5662.50918</v>
      </c>
    </row>
    <row r="40" spans="3:13" x14ac:dyDescent="0.25">
      <c r="C40" s="2">
        <v>45989</v>
      </c>
      <c r="D40" s="3">
        <f>AVERAGE(G13:G40)</f>
        <v>73966.226785714287</v>
      </c>
      <c r="E40" s="3">
        <f t="shared" si="0"/>
        <v>2218986.8035714286</v>
      </c>
      <c r="F40" s="2">
        <v>45989</v>
      </c>
      <c r="G40" s="4">
        <f>'PRODUÇAO (NOV)'!AI41</f>
        <v>164854.41999999998</v>
      </c>
      <c r="H40" s="8">
        <f t="shared" si="4"/>
        <v>2071054.35</v>
      </c>
      <c r="I40" s="6">
        <f t="shared" si="1"/>
        <v>0.69035144999999998</v>
      </c>
      <c r="J40" s="9">
        <f>H40/28*30</f>
        <v>2218986.8035714286</v>
      </c>
      <c r="K40" s="7">
        <f t="shared" si="2"/>
        <v>-781013.19642857136</v>
      </c>
      <c r="L40" s="46">
        <f t="shared" si="5"/>
        <v>0.73966226785714284</v>
      </c>
      <c r="M40" s="15">
        <f t="shared" si="3"/>
        <v>14177.480119999998</v>
      </c>
    </row>
    <row r="41" spans="3:13" x14ac:dyDescent="0.25">
      <c r="C41" s="2">
        <v>45990</v>
      </c>
      <c r="D41" s="3">
        <f>AVERAGE(G13:G41)</f>
        <v>76544.316896551725</v>
      </c>
      <c r="E41" s="3">
        <f t="shared" si="0"/>
        <v>2296329.5068965517</v>
      </c>
      <c r="F41" s="2">
        <v>45990</v>
      </c>
      <c r="G41" s="4">
        <f>'PRODUÇAO (NOV)'!AJ41</f>
        <v>148730.84</v>
      </c>
      <c r="H41" s="8">
        <f t="shared" si="4"/>
        <v>2219785.19</v>
      </c>
      <c r="I41" s="6">
        <f t="shared" si="1"/>
        <v>0.73992839666666665</v>
      </c>
      <c r="J41" s="9">
        <f>H41/29*30</f>
        <v>2296329.5068965517</v>
      </c>
      <c r="K41" s="7">
        <f t="shared" si="2"/>
        <v>-703670.4931034483</v>
      </c>
      <c r="L41" s="46">
        <f t="shared" si="5"/>
        <v>0.76544316896551723</v>
      </c>
      <c r="M41" s="15">
        <f t="shared" si="3"/>
        <v>12790.852239999998</v>
      </c>
    </row>
    <row r="42" spans="3:13" x14ac:dyDescent="0.25">
      <c r="C42" s="2">
        <v>45991</v>
      </c>
      <c r="D42" s="3">
        <f>AVERAGE(G13:G42)</f>
        <v>78132.240999999995</v>
      </c>
      <c r="E42" s="3">
        <f t="shared" si="0"/>
        <v>2343967.23</v>
      </c>
      <c r="F42" s="2">
        <v>45991</v>
      </c>
      <c r="G42" s="4">
        <f>'PRODUÇAO (NOV)'!AK41</f>
        <v>124182.04</v>
      </c>
      <c r="H42" s="8">
        <f t="shared" si="4"/>
        <v>2343967.23</v>
      </c>
      <c r="I42" s="6">
        <f t="shared" si="1"/>
        <v>0.78132241000000002</v>
      </c>
      <c r="J42" s="9">
        <f>H42/31*31</f>
        <v>2343967.23</v>
      </c>
      <c r="K42" s="7">
        <f t="shared" si="2"/>
        <v>-656032.77</v>
      </c>
      <c r="L42" s="46">
        <f t="shared" si="5"/>
        <v>0.78132241000000002</v>
      </c>
      <c r="M42" s="15">
        <f t="shared" si="3"/>
        <v>10679.655439999999</v>
      </c>
    </row>
    <row r="43" spans="3:13" x14ac:dyDescent="0.25">
      <c r="C43" s="2"/>
      <c r="D43" s="3">
        <f>AVERAGE(D13:D42)</f>
        <v>63246.400853207844</v>
      </c>
      <c r="E43" s="3">
        <f>D43*31</f>
        <v>1960638.4264494432</v>
      </c>
      <c r="F43" s="2">
        <v>45961</v>
      </c>
      <c r="G43" s="4">
        <f>'PRODUÇAO (NOV)'!H77</f>
        <v>0</v>
      </c>
      <c r="H43" s="65">
        <f t="shared" si="4"/>
        <v>2343967.23</v>
      </c>
      <c r="I43" s="66">
        <f t="shared" si="1"/>
        <v>0.78132241000000002</v>
      </c>
      <c r="J43" s="64">
        <f>H43/30*30</f>
        <v>2343967.23</v>
      </c>
      <c r="K43" s="7">
        <f t="shared" si="2"/>
        <v>-656032.77</v>
      </c>
      <c r="L43" s="67">
        <f t="shared" si="5"/>
        <v>0.78132241000000002</v>
      </c>
      <c r="M43" s="15">
        <f t="shared" si="3"/>
        <v>0</v>
      </c>
    </row>
  </sheetData>
  <mergeCells count="1">
    <mergeCell ref="C4:K4"/>
  </mergeCells>
  <conditionalFormatting sqref="K1:K3 K6:K11 K44:K1048576">
    <cfRule type="cellIs" dxfId="11" priority="4" stopIfTrue="1" operator="greaterThan">
      <formula>100675.95</formula>
    </cfRule>
  </conditionalFormatting>
  <conditionalFormatting sqref="K13:K43">
    <cfRule type="cellIs" dxfId="10" priority="1" operator="lessThan">
      <formula>0</formula>
    </cfRule>
    <cfRule type="cellIs" dxfId="9" priority="2" operator="greaterThan">
      <formula>0</formula>
    </cfRule>
    <cfRule type="cellIs" dxfId="8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4EA1-FAFE-4123-99F7-05992E6A345C}">
  <dimension ref="A4:AT42"/>
  <sheetViews>
    <sheetView workbookViewId="0">
      <pane xSplit="1" topLeftCell="B1" activePane="topRight" state="frozen"/>
      <selection pane="topRight" activeCell="M23" sqref="M23"/>
    </sheetView>
  </sheetViews>
  <sheetFormatPr defaultRowHeight="15" x14ac:dyDescent="0.25"/>
  <cols>
    <col min="1" max="1" width="47.5703125" style="33" bestFit="1" customWidth="1"/>
    <col min="2" max="2" width="21.140625" style="33" bestFit="1" customWidth="1"/>
    <col min="3" max="3" width="15" style="33" bestFit="1" customWidth="1"/>
    <col min="4" max="4" width="0.5703125" style="33" hidden="1" customWidth="1"/>
    <col min="5" max="5" width="0.140625" style="33" hidden="1" customWidth="1"/>
    <col min="6" max="6" width="22.140625" style="34" hidden="1" customWidth="1"/>
    <col min="7" max="7" width="26.85546875" style="34" hidden="1" customWidth="1"/>
    <col min="8" max="8" width="14.5703125" bestFit="1" customWidth="1"/>
    <col min="9" max="10" width="15.28515625" bestFit="1" customWidth="1"/>
    <col min="11" max="11" width="14.5703125" bestFit="1" customWidth="1"/>
    <col min="12" max="12" width="15.7109375" bestFit="1" customWidth="1"/>
    <col min="13" max="13" width="14.5703125" bestFit="1" customWidth="1"/>
    <col min="14" max="14" width="15.28515625" bestFit="1" customWidth="1"/>
    <col min="15" max="15" width="15.7109375" bestFit="1" customWidth="1"/>
    <col min="16" max="16" width="14.5703125" bestFit="1" customWidth="1"/>
    <col min="17" max="17" width="15.7109375" bestFit="1" customWidth="1"/>
    <col min="18" max="18" width="14.5703125" bestFit="1" customWidth="1"/>
    <col min="19" max="22" width="15.7109375" bestFit="1" customWidth="1"/>
    <col min="23" max="23" width="14.5703125" bestFit="1" customWidth="1"/>
    <col min="24" max="31" width="15.7109375" bestFit="1" customWidth="1"/>
    <col min="32" max="32" width="14.5703125" bestFit="1" customWidth="1"/>
    <col min="33" max="33" width="15.7109375" bestFit="1" customWidth="1"/>
    <col min="34" max="34" width="14.5703125" bestFit="1" customWidth="1"/>
    <col min="35" max="37" width="15.7109375" bestFit="1" customWidth="1"/>
    <col min="38" max="38" width="15.7109375" customWidth="1"/>
    <col min="39" max="39" width="17.5703125" bestFit="1" customWidth="1"/>
    <col min="40" max="41" width="15.7109375" bestFit="1" customWidth="1"/>
  </cols>
  <sheetData>
    <row r="4" spans="1:46" ht="21" x14ac:dyDescent="0.35">
      <c r="A4" s="25" t="s">
        <v>18</v>
      </c>
      <c r="B4" s="25" t="s">
        <v>19</v>
      </c>
      <c r="C4" s="25" t="s">
        <v>20</v>
      </c>
      <c r="D4" s="25" t="s">
        <v>21</v>
      </c>
      <c r="E4" s="25" t="s">
        <v>22</v>
      </c>
      <c r="F4" s="25" t="s">
        <v>23</v>
      </c>
      <c r="G4" s="25" t="s">
        <v>24</v>
      </c>
      <c r="H4" s="36">
        <v>45962</v>
      </c>
      <c r="I4" s="36">
        <v>45963</v>
      </c>
      <c r="J4" s="36">
        <v>45964</v>
      </c>
      <c r="K4" s="36">
        <v>45965</v>
      </c>
      <c r="L4" s="36">
        <v>45966</v>
      </c>
      <c r="M4" s="36">
        <v>45967</v>
      </c>
      <c r="N4" s="36">
        <v>45968</v>
      </c>
      <c r="O4" s="36">
        <v>45969</v>
      </c>
      <c r="P4" s="36">
        <v>45970</v>
      </c>
      <c r="Q4" s="36">
        <v>45971</v>
      </c>
      <c r="R4" s="36">
        <v>45972</v>
      </c>
      <c r="S4" s="36">
        <v>45973</v>
      </c>
      <c r="T4" s="36">
        <v>45974</v>
      </c>
      <c r="U4" s="36">
        <v>45975</v>
      </c>
      <c r="V4" s="36">
        <v>45976</v>
      </c>
      <c r="W4" s="36">
        <v>45977</v>
      </c>
      <c r="X4" s="36">
        <v>45978</v>
      </c>
      <c r="Y4" s="36">
        <v>45979</v>
      </c>
      <c r="Z4" s="36">
        <v>45980</v>
      </c>
      <c r="AA4" s="36">
        <v>45981</v>
      </c>
      <c r="AB4" s="36">
        <v>45982</v>
      </c>
      <c r="AC4" s="36">
        <v>45983</v>
      </c>
      <c r="AD4" s="36">
        <v>45984</v>
      </c>
      <c r="AE4" s="36">
        <v>45985</v>
      </c>
      <c r="AF4" s="36">
        <v>45986</v>
      </c>
      <c r="AG4" s="36">
        <v>45987</v>
      </c>
      <c r="AH4" s="36">
        <v>45988</v>
      </c>
      <c r="AI4" s="36">
        <v>45989</v>
      </c>
      <c r="AJ4" s="36">
        <v>45990</v>
      </c>
      <c r="AK4" s="36">
        <v>45991</v>
      </c>
      <c r="AL4" s="36"/>
      <c r="AM4" s="39" t="s">
        <v>13</v>
      </c>
      <c r="AN4" s="39" t="s">
        <v>209</v>
      </c>
      <c r="AO4" s="39" t="s">
        <v>210</v>
      </c>
      <c r="AP4" s="24" t="s">
        <v>9</v>
      </c>
      <c r="AQ4" s="24" t="s">
        <v>9</v>
      </c>
      <c r="AR4" s="24" t="s">
        <v>9</v>
      </c>
      <c r="AS4" s="24" t="s">
        <v>9</v>
      </c>
      <c r="AT4" s="24" t="s">
        <v>9</v>
      </c>
    </row>
    <row r="5" spans="1:46" ht="21" x14ac:dyDescent="0.35">
      <c r="A5" s="26" t="s">
        <v>32</v>
      </c>
      <c r="B5" s="27" t="s">
        <v>33</v>
      </c>
      <c r="C5" s="31" t="s">
        <v>135</v>
      </c>
      <c r="D5" s="27" t="s">
        <v>28</v>
      </c>
      <c r="E5" s="27" t="s">
        <v>29</v>
      </c>
      <c r="F5" s="27" t="s">
        <v>30</v>
      </c>
      <c r="G5" s="69" t="s">
        <v>31</v>
      </c>
      <c r="H5" s="71"/>
      <c r="I5" s="71"/>
      <c r="J5" s="72">
        <v>20000</v>
      </c>
      <c r="K5" s="72"/>
      <c r="L5" s="72"/>
      <c r="M5" s="72"/>
      <c r="N5" s="72"/>
      <c r="O5" s="72"/>
      <c r="P5" s="72">
        <v>21000</v>
      </c>
      <c r="Q5" s="72"/>
      <c r="R5" s="72"/>
      <c r="S5" s="72"/>
      <c r="T5" s="72"/>
      <c r="U5" s="72"/>
      <c r="V5" s="72">
        <v>16000</v>
      </c>
      <c r="W5" s="72"/>
      <c r="X5" s="72"/>
      <c r="Y5" s="72"/>
      <c r="Z5" s="72">
        <v>33000</v>
      </c>
      <c r="AA5" s="72"/>
      <c r="AB5" s="72"/>
      <c r="AC5" s="72"/>
      <c r="AD5" s="72"/>
      <c r="AE5" s="72"/>
      <c r="AF5" s="72"/>
      <c r="AG5" s="72"/>
      <c r="AH5" s="72"/>
      <c r="AI5" s="72"/>
      <c r="AJ5" s="72">
        <v>18759.87</v>
      </c>
      <c r="AK5" s="72"/>
      <c r="AL5" s="68"/>
      <c r="AM5" s="40">
        <f>SUM(H5:AL5)</f>
        <v>108759.87</v>
      </c>
      <c r="AN5" s="40">
        <f>AVERAGE(H5:AK5)</f>
        <v>21751.973999999998</v>
      </c>
      <c r="AO5" s="40">
        <f>AM5*8.5%</f>
        <v>9244.5889499999994</v>
      </c>
    </row>
    <row r="6" spans="1:46" ht="21" x14ac:dyDescent="0.35">
      <c r="A6" s="26" t="s">
        <v>38</v>
      </c>
      <c r="B6" s="27" t="s">
        <v>39</v>
      </c>
      <c r="C6" s="28" t="s">
        <v>34</v>
      </c>
      <c r="D6" s="27" t="s">
        <v>35</v>
      </c>
      <c r="E6" s="27" t="s">
        <v>36</v>
      </c>
      <c r="F6" s="27" t="s">
        <v>37</v>
      </c>
      <c r="G6" s="69" t="s">
        <v>31</v>
      </c>
      <c r="H6" s="72"/>
      <c r="I6" s="72"/>
      <c r="J6" s="72"/>
      <c r="K6" s="72"/>
      <c r="L6" s="72"/>
      <c r="M6" s="72">
        <v>23200</v>
      </c>
      <c r="N6" s="72"/>
      <c r="O6" s="72"/>
      <c r="P6" s="72"/>
      <c r="Q6" s="72"/>
      <c r="R6" s="72"/>
      <c r="S6" s="72"/>
      <c r="T6" s="72"/>
      <c r="U6" s="72">
        <v>5840.17</v>
      </c>
      <c r="V6" s="72"/>
      <c r="W6" s="72"/>
      <c r="X6" s="72"/>
      <c r="Y6" s="72"/>
      <c r="Z6" s="72"/>
      <c r="AA6" s="72"/>
      <c r="AB6" s="72"/>
      <c r="AC6" s="72"/>
      <c r="AD6" s="72"/>
      <c r="AE6" s="72">
        <v>34047.599999999999</v>
      </c>
      <c r="AF6" s="72"/>
      <c r="AG6" s="72"/>
      <c r="AH6" s="72"/>
      <c r="AI6" s="72"/>
      <c r="AJ6" s="72"/>
      <c r="AK6" s="72">
        <v>36100</v>
      </c>
      <c r="AL6" s="68"/>
      <c r="AM6" s="40">
        <f t="shared" ref="AM6:AM41" si="0">SUM(H6:AL6)</f>
        <v>99187.76999999999</v>
      </c>
      <c r="AN6" s="40">
        <f t="shared" ref="AN6:AN40" si="1">AVERAGE(H6:AK6)</f>
        <v>24796.942499999997</v>
      </c>
      <c r="AO6" s="40">
        <f t="shared" ref="AO6:AO40" si="2">AM6*8.5%</f>
        <v>8430.9604500000005</v>
      </c>
    </row>
    <row r="7" spans="1:46" ht="21" x14ac:dyDescent="0.35">
      <c r="A7" s="26" t="s">
        <v>248</v>
      </c>
      <c r="B7" s="27" t="s">
        <v>249</v>
      </c>
      <c r="C7" s="28" t="s">
        <v>176</v>
      </c>
      <c r="D7" s="29" t="s">
        <v>41</v>
      </c>
      <c r="E7" s="29" t="s">
        <v>42</v>
      </c>
      <c r="F7" s="29" t="s">
        <v>43</v>
      </c>
      <c r="G7" s="70" t="s">
        <v>31</v>
      </c>
      <c r="H7" s="72">
        <v>6875</v>
      </c>
      <c r="I7" s="72"/>
      <c r="J7" s="72"/>
      <c r="K7" s="72">
        <v>6666.67</v>
      </c>
      <c r="L7" s="72"/>
      <c r="M7" s="72">
        <v>6875</v>
      </c>
      <c r="N7" s="72"/>
      <c r="O7" s="72"/>
      <c r="P7" s="72"/>
      <c r="Q7" s="72"/>
      <c r="R7" s="72">
        <v>6666.67</v>
      </c>
      <c r="S7" s="72"/>
      <c r="T7" s="72"/>
      <c r="U7" s="72"/>
      <c r="V7" s="72"/>
      <c r="W7" s="72"/>
      <c r="X7" s="72"/>
      <c r="Y7" s="72"/>
      <c r="Z7" s="72"/>
      <c r="AA7" s="72">
        <v>6875</v>
      </c>
      <c r="AB7" s="72"/>
      <c r="AC7" s="72">
        <v>6666.67</v>
      </c>
      <c r="AD7" s="72"/>
      <c r="AE7" s="72"/>
      <c r="AF7" s="72"/>
      <c r="AG7" s="72"/>
      <c r="AH7" s="72"/>
      <c r="AI7" s="72"/>
      <c r="AJ7" s="72">
        <v>6666.67</v>
      </c>
      <c r="AK7" s="72"/>
      <c r="AL7" s="68"/>
      <c r="AM7" s="40">
        <f t="shared" si="0"/>
        <v>47291.679999999993</v>
      </c>
      <c r="AN7" s="40">
        <f t="shared" si="1"/>
        <v>6755.9542857142851</v>
      </c>
      <c r="AO7" s="40">
        <f t="shared" si="2"/>
        <v>4019.7927999999997</v>
      </c>
    </row>
    <row r="8" spans="1:46" ht="21" x14ac:dyDescent="0.35">
      <c r="A8" s="26" t="s">
        <v>162</v>
      </c>
      <c r="B8" s="27" t="s">
        <v>163</v>
      </c>
      <c r="C8" s="28" t="s">
        <v>164</v>
      </c>
      <c r="D8" s="27" t="s">
        <v>47</v>
      </c>
      <c r="E8" s="27" t="s">
        <v>48</v>
      </c>
      <c r="F8" s="27" t="s">
        <v>49</v>
      </c>
      <c r="G8" s="69" t="s">
        <v>31</v>
      </c>
      <c r="H8" s="72"/>
      <c r="I8" s="72"/>
      <c r="J8" s="72"/>
      <c r="K8" s="72"/>
      <c r="L8" s="72"/>
      <c r="M8" s="72"/>
      <c r="N8" s="72"/>
      <c r="O8" s="72">
        <v>17500</v>
      </c>
      <c r="P8" s="72"/>
      <c r="Q8" s="72"/>
      <c r="R8" s="72"/>
      <c r="S8" s="72"/>
      <c r="T8" s="72">
        <v>5199.3100000000004</v>
      </c>
      <c r="U8" s="72"/>
      <c r="V8" s="72"/>
      <c r="W8" s="72"/>
      <c r="X8" s="72">
        <v>27164.87</v>
      </c>
      <c r="Y8" s="72"/>
      <c r="Z8" s="72"/>
      <c r="AA8" s="72"/>
      <c r="AB8" s="72">
        <v>41290.35</v>
      </c>
      <c r="AC8" s="72"/>
      <c r="AD8" s="72"/>
      <c r="AE8" s="72"/>
      <c r="AF8" s="72"/>
      <c r="AG8" s="72"/>
      <c r="AH8" s="72"/>
      <c r="AI8" s="72"/>
      <c r="AJ8" s="72">
        <v>18759.87</v>
      </c>
      <c r="AK8" s="72"/>
      <c r="AL8" s="68"/>
      <c r="AM8" s="40">
        <f t="shared" si="0"/>
        <v>109914.4</v>
      </c>
      <c r="AN8" s="40">
        <f t="shared" si="1"/>
        <v>21982.879999999997</v>
      </c>
      <c r="AO8" s="40">
        <f t="shared" si="2"/>
        <v>9342.7240000000002</v>
      </c>
    </row>
    <row r="9" spans="1:46" ht="21" x14ac:dyDescent="0.35">
      <c r="A9" s="26" t="s">
        <v>139</v>
      </c>
      <c r="B9" s="27" t="s">
        <v>140</v>
      </c>
      <c r="C9" s="28" t="s">
        <v>141</v>
      </c>
      <c r="D9" s="27" t="s">
        <v>53</v>
      </c>
      <c r="E9" s="27" t="s">
        <v>54</v>
      </c>
      <c r="F9" s="29" t="s">
        <v>55</v>
      </c>
      <c r="G9" s="70" t="s">
        <v>31</v>
      </c>
      <c r="H9" s="72"/>
      <c r="I9" s="72"/>
      <c r="J9" s="72"/>
      <c r="K9" s="72"/>
      <c r="L9" s="72">
        <v>14750</v>
      </c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68"/>
      <c r="AM9" s="40">
        <f t="shared" si="0"/>
        <v>14750</v>
      </c>
      <c r="AN9" s="40">
        <f t="shared" si="1"/>
        <v>14750</v>
      </c>
      <c r="AO9" s="40">
        <f t="shared" si="2"/>
        <v>1253.75</v>
      </c>
    </row>
    <row r="10" spans="1:46" ht="21" x14ac:dyDescent="0.35">
      <c r="A10" s="27" t="s">
        <v>62</v>
      </c>
      <c r="B10" s="27" t="s">
        <v>63</v>
      </c>
      <c r="C10" s="28" t="s">
        <v>70</v>
      </c>
      <c r="D10" s="29" t="s">
        <v>59</v>
      </c>
      <c r="E10" s="29" t="s">
        <v>60</v>
      </c>
      <c r="F10" s="29" t="s">
        <v>61</v>
      </c>
      <c r="G10" s="70" t="s">
        <v>31</v>
      </c>
      <c r="H10" s="72">
        <v>44921.52</v>
      </c>
      <c r="I10" s="72"/>
      <c r="J10" s="72"/>
      <c r="K10" s="72"/>
      <c r="L10" s="72"/>
      <c r="M10" s="72"/>
      <c r="N10" s="72">
        <v>24000</v>
      </c>
      <c r="O10" s="72"/>
      <c r="P10" s="72"/>
      <c r="Q10" s="72"/>
      <c r="R10" s="72"/>
      <c r="S10" s="72"/>
      <c r="T10" s="72">
        <v>9137.48</v>
      </c>
      <c r="U10" s="72"/>
      <c r="V10" s="72"/>
      <c r="W10" s="72"/>
      <c r="X10" s="72"/>
      <c r="Y10" s="72"/>
      <c r="Z10" s="72"/>
      <c r="AA10" s="72">
        <v>25380.82</v>
      </c>
      <c r="AB10" s="72"/>
      <c r="AC10" s="72"/>
      <c r="AD10" s="72"/>
      <c r="AE10" s="72"/>
      <c r="AF10" s="72"/>
      <c r="AG10" s="72"/>
      <c r="AH10" s="72"/>
      <c r="AI10" s="72"/>
      <c r="AJ10" s="72">
        <v>26300</v>
      </c>
      <c r="AK10" s="72"/>
      <c r="AL10" s="68"/>
      <c r="AM10" s="40">
        <f t="shared" si="0"/>
        <v>129739.81999999998</v>
      </c>
      <c r="AN10" s="40">
        <f t="shared" si="1"/>
        <v>25947.963999999996</v>
      </c>
      <c r="AO10" s="40">
        <f t="shared" si="2"/>
        <v>11027.884699999999</v>
      </c>
    </row>
    <row r="11" spans="1:46" ht="21" x14ac:dyDescent="0.35">
      <c r="A11" s="26" t="s">
        <v>86</v>
      </c>
      <c r="B11" s="27" t="s">
        <v>87</v>
      </c>
      <c r="C11" s="28" t="s">
        <v>217</v>
      </c>
      <c r="D11" s="27" t="s">
        <v>65</v>
      </c>
      <c r="E11" s="27" t="s">
        <v>66</v>
      </c>
      <c r="F11" s="27" t="s">
        <v>67</v>
      </c>
      <c r="G11" s="69" t="s">
        <v>31</v>
      </c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>
        <v>9133.68</v>
      </c>
      <c r="U11" s="72"/>
      <c r="V11" s="72"/>
      <c r="W11" s="72"/>
      <c r="X11" s="72"/>
      <c r="Y11" s="72"/>
      <c r="Z11" s="72">
        <v>44393.04</v>
      </c>
      <c r="AA11" s="72"/>
      <c r="AB11" s="72"/>
      <c r="AC11" s="72"/>
      <c r="AD11" s="72"/>
      <c r="AE11" s="72"/>
      <c r="AF11" s="72"/>
      <c r="AG11" s="72"/>
      <c r="AH11" s="72">
        <v>25600</v>
      </c>
      <c r="AI11" s="72"/>
      <c r="AJ11" s="72"/>
      <c r="AK11" s="72"/>
      <c r="AL11" s="68"/>
      <c r="AM11" s="40">
        <f t="shared" si="0"/>
        <v>79126.720000000001</v>
      </c>
      <c r="AN11" s="40">
        <f t="shared" si="1"/>
        <v>26375.573333333334</v>
      </c>
      <c r="AO11" s="40">
        <f t="shared" si="2"/>
        <v>6725.7712000000001</v>
      </c>
    </row>
    <row r="12" spans="1:46" ht="21" x14ac:dyDescent="0.35">
      <c r="A12" s="26" t="s">
        <v>203</v>
      </c>
      <c r="B12" s="27" t="s">
        <v>204</v>
      </c>
      <c r="C12" s="28" t="s">
        <v>216</v>
      </c>
      <c r="D12" s="29" t="s">
        <v>71</v>
      </c>
      <c r="E12" s="29" t="s">
        <v>72</v>
      </c>
      <c r="F12" s="27" t="s">
        <v>73</v>
      </c>
      <c r="G12" s="69" t="s">
        <v>31</v>
      </c>
      <c r="H12" s="72"/>
      <c r="I12" s="72"/>
      <c r="J12" s="72">
        <v>6875</v>
      </c>
      <c r="K12" s="72"/>
      <c r="L12" s="72">
        <v>6666.67</v>
      </c>
      <c r="M12" s="72"/>
      <c r="N12" s="72">
        <v>32960</v>
      </c>
      <c r="O12" s="72"/>
      <c r="P12" s="72"/>
      <c r="Q12" s="72"/>
      <c r="R12" s="72">
        <v>22360</v>
      </c>
      <c r="S12" s="72"/>
      <c r="T12" s="72"/>
      <c r="U12" s="72"/>
      <c r="V12" s="72"/>
      <c r="W12" s="72"/>
      <c r="X12" s="72"/>
      <c r="Y12" s="72"/>
      <c r="Z12" s="72"/>
      <c r="AA12" s="72"/>
      <c r="AB12" s="72">
        <v>20010</v>
      </c>
      <c r="AC12" s="72"/>
      <c r="AD12" s="72"/>
      <c r="AE12" s="72"/>
      <c r="AF12" s="72">
        <v>6670</v>
      </c>
      <c r="AG12" s="72"/>
      <c r="AH12" s="72"/>
      <c r="AI12" s="72">
        <v>12849</v>
      </c>
      <c r="AJ12" s="72"/>
      <c r="AK12" s="72"/>
      <c r="AL12" s="68"/>
      <c r="AM12" s="40">
        <f t="shared" si="0"/>
        <v>108390.67</v>
      </c>
      <c r="AN12" s="40">
        <f t="shared" si="1"/>
        <v>15484.381428571429</v>
      </c>
      <c r="AO12" s="40">
        <f t="shared" si="2"/>
        <v>9213.2069499999998</v>
      </c>
    </row>
    <row r="13" spans="1:46" ht="21" x14ac:dyDescent="0.35">
      <c r="A13" s="83" t="s">
        <v>25</v>
      </c>
      <c r="B13" s="27" t="s">
        <v>26</v>
      </c>
      <c r="C13" s="28" t="s">
        <v>27</v>
      </c>
      <c r="D13" s="29" t="s">
        <v>83</v>
      </c>
      <c r="E13" s="29" t="s">
        <v>84</v>
      </c>
      <c r="F13" s="29" t="s">
        <v>85</v>
      </c>
      <c r="G13" s="69" t="s">
        <v>31</v>
      </c>
      <c r="H13" s="72"/>
      <c r="I13" s="72"/>
      <c r="J13" s="72"/>
      <c r="K13" s="72"/>
      <c r="L13" s="72">
        <v>38014.370000000003</v>
      </c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>
        <v>11250</v>
      </c>
      <c r="AC13" s="72"/>
      <c r="AD13" s="72"/>
      <c r="AE13" s="72"/>
      <c r="AF13" s="72"/>
      <c r="AG13" s="72"/>
      <c r="AH13" s="72"/>
      <c r="AI13" s="72">
        <v>30078</v>
      </c>
      <c r="AJ13" s="72"/>
      <c r="AK13" s="72"/>
      <c r="AL13" s="68"/>
      <c r="AM13" s="40">
        <f t="shared" si="0"/>
        <v>79342.37</v>
      </c>
      <c r="AN13" s="40">
        <f t="shared" si="1"/>
        <v>26447.456666666665</v>
      </c>
      <c r="AO13" s="40">
        <f t="shared" si="2"/>
        <v>6744.1014500000001</v>
      </c>
    </row>
    <row r="14" spans="1:46" ht="21" x14ac:dyDescent="0.35">
      <c r="A14" s="26" t="s">
        <v>220</v>
      </c>
      <c r="B14" s="27" t="s">
        <v>221</v>
      </c>
      <c r="C14" s="28" t="s">
        <v>243</v>
      </c>
      <c r="D14" s="29" t="s">
        <v>89</v>
      </c>
      <c r="E14" s="27" t="s">
        <v>90</v>
      </c>
      <c r="F14" s="27" t="s">
        <v>91</v>
      </c>
      <c r="G14" s="69" t="s">
        <v>31</v>
      </c>
      <c r="H14" s="72">
        <v>5096.17</v>
      </c>
      <c r="I14" s="72"/>
      <c r="J14" s="72"/>
      <c r="K14" s="72">
        <v>5117.88</v>
      </c>
      <c r="L14" s="72"/>
      <c r="M14" s="73"/>
      <c r="N14" s="73"/>
      <c r="O14" s="73"/>
      <c r="P14" s="73"/>
      <c r="Q14" s="72"/>
      <c r="R14" s="72">
        <v>5096.17</v>
      </c>
      <c r="S14" s="72"/>
      <c r="T14" s="72">
        <v>4817.88</v>
      </c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>
        <v>6875</v>
      </c>
      <c r="AI14" s="72"/>
      <c r="AJ14" s="72">
        <v>6666.67</v>
      </c>
      <c r="AK14" s="72"/>
      <c r="AL14" s="68"/>
      <c r="AM14" s="40">
        <f t="shared" si="0"/>
        <v>33669.769999999997</v>
      </c>
      <c r="AN14" s="40">
        <f t="shared" si="1"/>
        <v>5611.6283333333331</v>
      </c>
      <c r="AO14" s="40">
        <f t="shared" si="2"/>
        <v>2861.9304499999998</v>
      </c>
    </row>
    <row r="15" spans="1:46" ht="21" x14ac:dyDescent="0.35">
      <c r="A15" s="59" t="s">
        <v>156</v>
      </c>
      <c r="B15" s="79" t="s">
        <v>157</v>
      </c>
      <c r="C15" s="28"/>
      <c r="D15" s="27" t="s">
        <v>101</v>
      </c>
      <c r="E15" s="27" t="s">
        <v>102</v>
      </c>
      <c r="F15" s="27" t="s">
        <v>103</v>
      </c>
      <c r="G15" s="70" t="s">
        <v>104</v>
      </c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68"/>
      <c r="AM15" s="40">
        <f t="shared" si="0"/>
        <v>0</v>
      </c>
      <c r="AN15" s="40" t="e">
        <f t="shared" si="1"/>
        <v>#DIV/0!</v>
      </c>
      <c r="AO15" s="40">
        <f t="shared" si="2"/>
        <v>0</v>
      </c>
    </row>
    <row r="16" spans="1:46" ht="21" x14ac:dyDescent="0.35">
      <c r="A16" s="37" t="s">
        <v>56</v>
      </c>
      <c r="B16" s="27" t="s">
        <v>57</v>
      </c>
      <c r="C16" s="31" t="s">
        <v>58</v>
      </c>
      <c r="D16" s="29" t="s">
        <v>108</v>
      </c>
      <c r="E16" s="29" t="s">
        <v>109</v>
      </c>
      <c r="F16" s="29" t="s">
        <v>110</v>
      </c>
      <c r="G16" s="70" t="s">
        <v>104</v>
      </c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>
        <v>10500</v>
      </c>
      <c r="W16" s="72"/>
      <c r="X16" s="72"/>
      <c r="Y16" s="72"/>
      <c r="Z16" s="72"/>
      <c r="AA16" s="72">
        <v>17210.8</v>
      </c>
      <c r="AB16" s="72"/>
      <c r="AC16" s="72"/>
      <c r="AD16" s="72"/>
      <c r="AE16" s="72"/>
      <c r="AF16" s="72"/>
      <c r="AG16" s="72">
        <v>44556.480000000003</v>
      </c>
      <c r="AH16" s="72"/>
      <c r="AI16" s="72"/>
      <c r="AJ16" s="72"/>
      <c r="AK16" s="72"/>
      <c r="AL16" s="68"/>
      <c r="AM16" s="40">
        <f t="shared" si="0"/>
        <v>72267.28</v>
      </c>
      <c r="AN16" s="40">
        <f t="shared" si="1"/>
        <v>24089.093333333334</v>
      </c>
      <c r="AO16" s="40">
        <f t="shared" si="2"/>
        <v>6142.7188000000006</v>
      </c>
    </row>
    <row r="17" spans="1:41" ht="21" x14ac:dyDescent="0.35">
      <c r="A17" s="26" t="s">
        <v>74</v>
      </c>
      <c r="B17" s="27" t="s">
        <v>75</v>
      </c>
      <c r="C17" s="28" t="s">
        <v>219</v>
      </c>
      <c r="D17" s="27" t="s">
        <v>112</v>
      </c>
      <c r="E17" s="27" t="s">
        <v>113</v>
      </c>
      <c r="F17" s="27" t="s">
        <v>114</v>
      </c>
      <c r="G17" s="69" t="s">
        <v>104</v>
      </c>
      <c r="H17" s="72"/>
      <c r="I17" s="72"/>
      <c r="J17" s="72"/>
      <c r="K17" s="72"/>
      <c r="L17" s="72">
        <v>24000</v>
      </c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>
        <v>13823.7</v>
      </c>
      <c r="AB17" s="72"/>
      <c r="AC17" s="72"/>
      <c r="AD17" s="72"/>
      <c r="AE17" s="72"/>
      <c r="AF17" s="72">
        <v>43999.199999999997</v>
      </c>
      <c r="AG17" s="72"/>
      <c r="AH17" s="72"/>
      <c r="AI17" s="72"/>
      <c r="AJ17" s="73"/>
      <c r="AK17" s="72"/>
      <c r="AL17" s="68"/>
      <c r="AM17" s="40">
        <f t="shared" si="0"/>
        <v>81822.899999999994</v>
      </c>
      <c r="AN17" s="40">
        <f t="shared" si="1"/>
        <v>27274.3</v>
      </c>
      <c r="AO17" s="40">
        <f t="shared" si="2"/>
        <v>6954.9465</v>
      </c>
    </row>
    <row r="18" spans="1:41" ht="21" x14ac:dyDescent="0.35">
      <c r="A18" s="59" t="s">
        <v>127</v>
      </c>
      <c r="B18" s="79" t="s">
        <v>128</v>
      </c>
      <c r="C18" s="28"/>
      <c r="D18" s="27" t="s">
        <v>118</v>
      </c>
      <c r="E18" s="27" t="s">
        <v>119</v>
      </c>
      <c r="F18" s="27" t="s">
        <v>120</v>
      </c>
      <c r="G18" s="69" t="s">
        <v>104</v>
      </c>
      <c r="H18" s="72"/>
      <c r="I18" s="72"/>
      <c r="J18" s="72"/>
      <c r="K18" s="72"/>
      <c r="L18" s="72"/>
      <c r="M18" s="72"/>
      <c r="N18" s="72">
        <v>15960</v>
      </c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68"/>
      <c r="AM18" s="40">
        <f t="shared" si="0"/>
        <v>15960</v>
      </c>
      <c r="AN18" s="40">
        <f t="shared" si="1"/>
        <v>15960</v>
      </c>
      <c r="AO18" s="40">
        <f t="shared" si="2"/>
        <v>1356.6000000000001</v>
      </c>
    </row>
    <row r="19" spans="1:41" ht="21" x14ac:dyDescent="0.35">
      <c r="A19" s="26" t="s">
        <v>105</v>
      </c>
      <c r="B19" s="27" t="s">
        <v>106</v>
      </c>
      <c r="C19" s="28" t="s">
        <v>107</v>
      </c>
      <c r="D19" s="27" t="s">
        <v>124</v>
      </c>
      <c r="E19" s="27" t="s">
        <v>125</v>
      </c>
      <c r="F19" s="27" t="s">
        <v>126</v>
      </c>
      <c r="G19" s="69" t="s">
        <v>104</v>
      </c>
      <c r="H19" s="72"/>
      <c r="I19" s="72"/>
      <c r="J19" s="72"/>
      <c r="K19" s="72"/>
      <c r="L19" s="72"/>
      <c r="M19" s="72"/>
      <c r="N19" s="72"/>
      <c r="O19" s="72"/>
      <c r="P19" s="72">
        <v>32960</v>
      </c>
      <c r="Q19" s="72"/>
      <c r="R19" s="72"/>
      <c r="S19" s="72"/>
      <c r="T19" s="72"/>
      <c r="U19" s="72">
        <v>16380</v>
      </c>
      <c r="V19" s="72"/>
      <c r="W19" s="72"/>
      <c r="X19" s="72"/>
      <c r="Y19" s="72"/>
      <c r="Z19" s="72"/>
      <c r="AA19" s="72"/>
      <c r="AB19" s="72"/>
      <c r="AC19" s="72"/>
      <c r="AD19" s="72"/>
      <c r="AE19" s="72">
        <v>18759.87</v>
      </c>
      <c r="AF19" s="72"/>
      <c r="AG19" s="72"/>
      <c r="AH19" s="72"/>
      <c r="AI19" s="72"/>
      <c r="AJ19" s="72"/>
      <c r="AK19" s="72">
        <v>32960</v>
      </c>
      <c r="AL19" s="68"/>
      <c r="AM19" s="40">
        <f t="shared" si="0"/>
        <v>101059.87</v>
      </c>
      <c r="AN19" s="40">
        <f t="shared" si="1"/>
        <v>25264.967499999999</v>
      </c>
      <c r="AO19" s="40">
        <f t="shared" si="2"/>
        <v>8590.0889499999994</v>
      </c>
    </row>
    <row r="20" spans="1:41" ht="21" x14ac:dyDescent="0.35">
      <c r="A20" s="26" t="s">
        <v>115</v>
      </c>
      <c r="B20" s="27" t="s">
        <v>116</v>
      </c>
      <c r="C20" s="28" t="s">
        <v>117</v>
      </c>
      <c r="D20" s="27" t="s">
        <v>130</v>
      </c>
      <c r="E20" s="27" t="s">
        <v>131</v>
      </c>
      <c r="F20" s="27" t="s">
        <v>132</v>
      </c>
      <c r="G20" s="69" t="s">
        <v>104</v>
      </c>
      <c r="H20" s="72"/>
      <c r="I20" s="72"/>
      <c r="J20" s="72"/>
      <c r="K20" s="72">
        <v>17500</v>
      </c>
      <c r="L20" s="72"/>
      <c r="M20" s="72"/>
      <c r="N20" s="72"/>
      <c r="O20" s="72"/>
      <c r="P20" s="72"/>
      <c r="Q20" s="72"/>
      <c r="R20" s="72"/>
      <c r="S20" s="72"/>
      <c r="T20" s="72">
        <v>22000</v>
      </c>
      <c r="U20" s="72"/>
      <c r="V20" s="72"/>
      <c r="W20" s="72"/>
      <c r="X20" s="72"/>
      <c r="Y20" s="72"/>
      <c r="Z20" s="72"/>
      <c r="AA20" s="72">
        <v>22000</v>
      </c>
      <c r="AB20" s="72"/>
      <c r="AC20" s="72"/>
      <c r="AD20" s="72"/>
      <c r="AE20" s="72"/>
      <c r="AF20" s="72"/>
      <c r="AG20" s="72"/>
      <c r="AH20" s="72"/>
      <c r="AI20" s="72">
        <v>17200</v>
      </c>
      <c r="AJ20" s="72"/>
      <c r="AK20" s="72"/>
      <c r="AL20" s="68"/>
      <c r="AM20" s="40">
        <f t="shared" si="0"/>
        <v>78700</v>
      </c>
      <c r="AN20" s="40">
        <f t="shared" si="1"/>
        <v>19675</v>
      </c>
      <c r="AO20" s="40">
        <f t="shared" si="2"/>
        <v>6689.5000000000009</v>
      </c>
    </row>
    <row r="21" spans="1:41" ht="21" x14ac:dyDescent="0.35">
      <c r="A21" s="26" t="s">
        <v>80</v>
      </c>
      <c r="B21" s="27" t="s">
        <v>81</v>
      </c>
      <c r="C21" s="28" t="s">
        <v>82</v>
      </c>
      <c r="D21" s="27" t="s">
        <v>136</v>
      </c>
      <c r="E21" s="27" t="s">
        <v>137</v>
      </c>
      <c r="F21" s="29" t="s">
        <v>138</v>
      </c>
      <c r="G21" s="70" t="s">
        <v>104</v>
      </c>
      <c r="H21" s="72"/>
      <c r="I21" s="72"/>
      <c r="J21" s="72"/>
      <c r="K21" s="72"/>
      <c r="L21" s="72"/>
      <c r="M21" s="72"/>
      <c r="N21" s="72"/>
      <c r="O21" s="72">
        <v>24000</v>
      </c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>
        <v>16000</v>
      </c>
      <c r="AF21" s="72"/>
      <c r="AG21" s="72"/>
      <c r="AH21" s="72"/>
      <c r="AI21" s="72"/>
      <c r="AJ21" s="72"/>
      <c r="AK21" s="72"/>
      <c r="AL21" s="68"/>
      <c r="AM21" s="40">
        <f t="shared" si="0"/>
        <v>40000</v>
      </c>
      <c r="AN21" s="40">
        <f t="shared" si="1"/>
        <v>20000</v>
      </c>
      <c r="AO21" s="40">
        <f t="shared" si="2"/>
        <v>3400.0000000000005</v>
      </c>
    </row>
    <row r="22" spans="1:41" ht="21" x14ac:dyDescent="0.35">
      <c r="A22" s="26" t="s">
        <v>121</v>
      </c>
      <c r="B22" s="27" t="s">
        <v>122</v>
      </c>
      <c r="C22" s="28" t="s">
        <v>123</v>
      </c>
      <c r="D22" s="27" t="s">
        <v>142</v>
      </c>
      <c r="E22" s="27" t="s">
        <v>143</v>
      </c>
      <c r="F22" s="27" t="s">
        <v>144</v>
      </c>
      <c r="G22" s="69" t="s">
        <v>104</v>
      </c>
      <c r="H22" s="72"/>
      <c r="I22" s="72"/>
      <c r="J22" s="72"/>
      <c r="K22" s="72"/>
      <c r="L22" s="72">
        <v>6666.67</v>
      </c>
      <c r="M22" s="72"/>
      <c r="N22" s="72"/>
      <c r="O22" s="72"/>
      <c r="P22" s="72"/>
      <c r="Q22" s="72"/>
      <c r="R22" s="72">
        <v>6875</v>
      </c>
      <c r="S22" s="72">
        <v>6666.67</v>
      </c>
      <c r="T22" s="72"/>
      <c r="U22" s="72">
        <v>6875</v>
      </c>
      <c r="V22" s="72">
        <v>6666.65</v>
      </c>
      <c r="W22" s="72"/>
      <c r="X22" s="72"/>
      <c r="Y22" s="72"/>
      <c r="Z22" s="72">
        <v>6875</v>
      </c>
      <c r="AA22" s="72"/>
      <c r="AB22" s="72">
        <v>12849</v>
      </c>
      <c r="AC22" s="72"/>
      <c r="AD22" s="72"/>
      <c r="AE22" s="72"/>
      <c r="AF22" s="72"/>
      <c r="AG22" s="72"/>
      <c r="AH22" s="72">
        <v>6875</v>
      </c>
      <c r="AI22" s="72">
        <v>6666.67</v>
      </c>
      <c r="AJ22" s="72"/>
      <c r="AK22" s="72"/>
      <c r="AL22" s="68"/>
      <c r="AM22" s="40">
        <f t="shared" si="0"/>
        <v>67015.66</v>
      </c>
      <c r="AN22" s="40">
        <f t="shared" si="1"/>
        <v>7446.184444444445</v>
      </c>
      <c r="AO22" s="40">
        <f t="shared" si="2"/>
        <v>5696.3311000000003</v>
      </c>
    </row>
    <row r="23" spans="1:41" ht="21" x14ac:dyDescent="0.35">
      <c r="A23" s="27" t="s">
        <v>180</v>
      </c>
      <c r="B23" s="27" t="s">
        <v>181</v>
      </c>
      <c r="C23" s="28" t="s">
        <v>182</v>
      </c>
      <c r="D23" s="27" t="s">
        <v>159</v>
      </c>
      <c r="E23" s="27" t="s">
        <v>160</v>
      </c>
      <c r="F23" s="27" t="s">
        <v>161</v>
      </c>
      <c r="G23" s="69" t="s">
        <v>104</v>
      </c>
      <c r="H23" s="72"/>
      <c r="I23" s="72"/>
      <c r="J23" s="72"/>
      <c r="K23" s="72"/>
      <c r="L23" s="72"/>
      <c r="M23" s="72">
        <v>6875</v>
      </c>
      <c r="N23" s="72"/>
      <c r="O23" s="72">
        <v>6666.66</v>
      </c>
      <c r="P23" s="72"/>
      <c r="Q23" s="72">
        <v>14147.73</v>
      </c>
      <c r="R23" s="72"/>
      <c r="S23" s="72">
        <v>12849</v>
      </c>
      <c r="T23" s="72"/>
      <c r="U23" s="72"/>
      <c r="V23" s="72">
        <v>32960</v>
      </c>
      <c r="W23" s="72"/>
      <c r="X23" s="72"/>
      <c r="Y23" s="72"/>
      <c r="Z23" s="72"/>
      <c r="AA23" s="72"/>
      <c r="AB23" s="72">
        <v>18759.87</v>
      </c>
      <c r="AC23" s="72"/>
      <c r="AD23" s="72"/>
      <c r="AE23" s="72"/>
      <c r="AF23" s="72"/>
      <c r="AG23" s="72">
        <v>6875</v>
      </c>
      <c r="AH23" s="72"/>
      <c r="AI23" s="72"/>
      <c r="AJ23" s="72">
        <v>44481.599999999999</v>
      </c>
      <c r="AK23" s="72"/>
      <c r="AL23" s="68"/>
      <c r="AM23" s="40">
        <f t="shared" si="0"/>
        <v>143614.85999999999</v>
      </c>
      <c r="AN23" s="40">
        <f t="shared" si="1"/>
        <v>17951.857499999998</v>
      </c>
      <c r="AO23" s="40">
        <f t="shared" si="2"/>
        <v>12207.2631</v>
      </c>
    </row>
    <row r="24" spans="1:41" ht="21" x14ac:dyDescent="0.35">
      <c r="A24" s="30" t="s">
        <v>50</v>
      </c>
      <c r="B24" s="29" t="s">
        <v>51</v>
      </c>
      <c r="C24" s="31" t="s">
        <v>52</v>
      </c>
      <c r="D24" s="27" t="s">
        <v>165</v>
      </c>
      <c r="E24" s="27" t="s">
        <v>166</v>
      </c>
      <c r="F24" s="27" t="s">
        <v>167</v>
      </c>
      <c r="G24" s="69" t="s">
        <v>104</v>
      </c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>
        <v>36100</v>
      </c>
      <c r="T24" s="72"/>
      <c r="U24" s="72"/>
      <c r="V24" s="72"/>
      <c r="W24" s="72"/>
      <c r="X24" s="72"/>
      <c r="Y24" s="72"/>
      <c r="Z24" s="72"/>
      <c r="AA24" s="72"/>
      <c r="AB24" s="72"/>
      <c r="AC24" s="72">
        <v>32018</v>
      </c>
      <c r="AD24" s="72"/>
      <c r="AE24" s="72"/>
      <c r="AF24" s="72"/>
      <c r="AG24" s="72"/>
      <c r="AH24" s="72"/>
      <c r="AI24" s="72"/>
      <c r="AJ24" s="72"/>
      <c r="AK24" s="72"/>
      <c r="AL24" s="68"/>
      <c r="AM24" s="40">
        <f t="shared" si="0"/>
        <v>68118</v>
      </c>
      <c r="AN24" s="40">
        <f t="shared" si="1"/>
        <v>34059</v>
      </c>
      <c r="AO24" s="40">
        <f t="shared" si="2"/>
        <v>5790.0300000000007</v>
      </c>
    </row>
    <row r="25" spans="1:41" ht="21" x14ac:dyDescent="0.35">
      <c r="A25" s="26" t="s">
        <v>168</v>
      </c>
      <c r="B25" s="27" t="s">
        <v>169</v>
      </c>
      <c r="C25" s="28" t="s">
        <v>253</v>
      </c>
      <c r="D25" s="27" t="s">
        <v>171</v>
      </c>
      <c r="E25" s="27" t="s">
        <v>172</v>
      </c>
      <c r="F25" s="27" t="s">
        <v>173</v>
      </c>
      <c r="G25" s="69" t="s">
        <v>104</v>
      </c>
      <c r="H25" s="72"/>
      <c r="I25" s="72"/>
      <c r="J25" s="72"/>
      <c r="K25" s="72">
        <v>18160</v>
      </c>
      <c r="L25" s="72"/>
      <c r="M25" s="72"/>
      <c r="N25" s="72"/>
      <c r="O25" s="72"/>
      <c r="P25" s="72"/>
      <c r="Q25" s="72"/>
      <c r="R25" s="72"/>
      <c r="S25" s="72">
        <v>44921.52</v>
      </c>
      <c r="T25" s="72"/>
      <c r="U25" s="72"/>
      <c r="V25" s="72"/>
      <c r="W25" s="72"/>
      <c r="X25" s="72"/>
      <c r="Y25" s="72"/>
      <c r="Z25" s="72">
        <v>23072</v>
      </c>
      <c r="AA25" s="72"/>
      <c r="AB25" s="72"/>
      <c r="AC25" s="72"/>
      <c r="AD25" s="72"/>
      <c r="AE25" s="72"/>
      <c r="AF25" s="72">
        <v>6875</v>
      </c>
      <c r="AG25" s="72"/>
      <c r="AH25" s="72"/>
      <c r="AI25" s="72">
        <v>44300.88</v>
      </c>
      <c r="AJ25" s="72"/>
      <c r="AK25" s="72"/>
      <c r="AL25" s="68"/>
      <c r="AM25" s="40">
        <f t="shared" si="0"/>
        <v>137329.4</v>
      </c>
      <c r="AN25" s="40">
        <f t="shared" si="1"/>
        <v>27465.879999999997</v>
      </c>
      <c r="AO25" s="40">
        <f t="shared" si="2"/>
        <v>11672.999</v>
      </c>
    </row>
    <row r="26" spans="1:41" ht="21" x14ac:dyDescent="0.35">
      <c r="A26" s="26" t="s">
        <v>213</v>
      </c>
      <c r="B26" s="27" t="s">
        <v>214</v>
      </c>
      <c r="C26" s="28" t="s">
        <v>205</v>
      </c>
      <c r="D26" s="27" t="s">
        <v>177</v>
      </c>
      <c r="E26" s="27" t="s">
        <v>178</v>
      </c>
      <c r="F26" s="27" t="s">
        <v>179</v>
      </c>
      <c r="G26" s="69" t="s">
        <v>104</v>
      </c>
      <c r="H26" s="72"/>
      <c r="I26" s="72"/>
      <c r="J26" s="72"/>
      <c r="K26" s="72"/>
      <c r="L26" s="72"/>
      <c r="M26" s="72">
        <v>6500</v>
      </c>
      <c r="N26" s="72">
        <v>17550.78</v>
      </c>
      <c r="O26" s="72"/>
      <c r="P26" s="72"/>
      <c r="Q26" s="72"/>
      <c r="R26" s="72"/>
      <c r="S26" s="72"/>
      <c r="T26" s="72"/>
      <c r="U26" s="72"/>
      <c r="V26" s="72">
        <v>18600</v>
      </c>
      <c r="W26" s="72"/>
      <c r="X26" s="72"/>
      <c r="Y26" s="72"/>
      <c r="Z26" s="72"/>
      <c r="AA26" s="72">
        <v>4534.5200000000004</v>
      </c>
      <c r="AB26" s="72"/>
      <c r="AC26" s="72"/>
      <c r="AD26" s="72"/>
      <c r="AE26" s="72"/>
      <c r="AF26" s="72"/>
      <c r="AG26" s="72">
        <v>16352.88</v>
      </c>
      <c r="AH26" s="72"/>
      <c r="AI26" s="72"/>
      <c r="AJ26" s="72"/>
      <c r="AK26" s="72"/>
      <c r="AL26" s="68"/>
      <c r="AM26" s="40">
        <f t="shared" si="0"/>
        <v>63538.18</v>
      </c>
      <c r="AN26" s="40">
        <f t="shared" si="1"/>
        <v>12707.636</v>
      </c>
      <c r="AO26" s="40">
        <f t="shared" si="2"/>
        <v>5400.7453000000005</v>
      </c>
    </row>
    <row r="27" spans="1:41" ht="21" x14ac:dyDescent="0.35">
      <c r="A27" s="26" t="s">
        <v>186</v>
      </c>
      <c r="B27" s="27" t="s">
        <v>187</v>
      </c>
      <c r="C27" s="28" t="s">
        <v>188</v>
      </c>
      <c r="D27" s="29" t="s">
        <v>196</v>
      </c>
      <c r="E27" s="29" t="s">
        <v>190</v>
      </c>
      <c r="F27" s="29" t="s">
        <v>197</v>
      </c>
      <c r="G27" s="70" t="s">
        <v>192</v>
      </c>
      <c r="H27" s="72"/>
      <c r="I27" s="72"/>
      <c r="J27" s="72"/>
      <c r="K27" s="72"/>
      <c r="L27" s="72"/>
      <c r="M27" s="72"/>
      <c r="N27" s="72"/>
      <c r="O27" s="72">
        <v>4500</v>
      </c>
      <c r="P27" s="72"/>
      <c r="Q27" s="72"/>
      <c r="R27" s="72"/>
      <c r="S27" s="72">
        <v>14145</v>
      </c>
      <c r="T27" s="72"/>
      <c r="U27" s="72"/>
      <c r="V27" s="72"/>
      <c r="W27" s="72"/>
      <c r="X27" s="72"/>
      <c r="Y27" s="72"/>
      <c r="Z27" s="72"/>
      <c r="AA27" s="72">
        <v>16667.98</v>
      </c>
      <c r="AB27" s="72"/>
      <c r="AC27" s="72"/>
      <c r="AD27" s="72"/>
      <c r="AE27" s="72"/>
      <c r="AF27" s="72"/>
      <c r="AG27" s="72"/>
      <c r="AH27" s="72">
        <v>7056.69</v>
      </c>
      <c r="AI27" s="72"/>
      <c r="AJ27" s="72"/>
      <c r="AK27" s="72"/>
      <c r="AL27" s="68"/>
      <c r="AM27" s="40">
        <f t="shared" si="0"/>
        <v>42369.67</v>
      </c>
      <c r="AN27" s="40">
        <f t="shared" si="1"/>
        <v>10592.4175</v>
      </c>
      <c r="AO27" s="40">
        <f t="shared" si="2"/>
        <v>3601.4219499999999</v>
      </c>
    </row>
    <row r="28" spans="1:41" ht="21" x14ac:dyDescent="0.35">
      <c r="A28" s="26" t="s">
        <v>150</v>
      </c>
      <c r="B28" s="27" t="s">
        <v>151</v>
      </c>
      <c r="C28" s="28" t="s">
        <v>152</v>
      </c>
      <c r="D28" s="27" t="s">
        <v>201</v>
      </c>
      <c r="E28" s="27" t="s">
        <v>190</v>
      </c>
      <c r="F28" s="27" t="s">
        <v>202</v>
      </c>
      <c r="G28" s="70" t="s">
        <v>192</v>
      </c>
      <c r="H28" s="72"/>
      <c r="I28" s="72"/>
      <c r="J28" s="72"/>
      <c r="K28" s="72"/>
      <c r="L28" s="72"/>
      <c r="M28" s="72"/>
      <c r="N28" s="72"/>
      <c r="O28" s="72"/>
      <c r="P28" s="72"/>
      <c r="Q28" s="72">
        <v>18495</v>
      </c>
      <c r="R28" s="72"/>
      <c r="S28" s="72"/>
      <c r="T28" s="72"/>
      <c r="U28" s="72">
        <v>6875</v>
      </c>
      <c r="V28" s="72"/>
      <c r="W28" s="72"/>
      <c r="X28" s="72">
        <v>44921.52</v>
      </c>
      <c r="Y28" s="72"/>
      <c r="Z28" s="72"/>
      <c r="AA28" s="72"/>
      <c r="AB28" s="72"/>
      <c r="AC28" s="72"/>
      <c r="AD28" s="72"/>
      <c r="AE28" s="72"/>
      <c r="AF28" s="72">
        <v>16383.31</v>
      </c>
      <c r="AG28" s="72"/>
      <c r="AH28" s="72"/>
      <c r="AI28" s="72"/>
      <c r="AJ28" s="72"/>
      <c r="AK28" s="72">
        <v>34004.17</v>
      </c>
      <c r="AL28" s="68"/>
      <c r="AM28" s="40">
        <f t="shared" si="0"/>
        <v>120678.99999999999</v>
      </c>
      <c r="AN28" s="40">
        <f t="shared" si="1"/>
        <v>24135.799999999996</v>
      </c>
      <c r="AO28" s="40">
        <f t="shared" si="2"/>
        <v>10257.715</v>
      </c>
    </row>
    <row r="29" spans="1:41" ht="21" x14ac:dyDescent="0.35">
      <c r="A29" s="26" t="s">
        <v>227</v>
      </c>
      <c r="B29" s="27" t="s">
        <v>228</v>
      </c>
      <c r="C29" s="28" t="s">
        <v>235</v>
      </c>
      <c r="D29" s="27"/>
      <c r="E29" s="27"/>
      <c r="F29" s="27"/>
      <c r="G29" s="70"/>
      <c r="H29" s="72"/>
      <c r="I29" s="72"/>
      <c r="J29" s="72"/>
      <c r="K29" s="72"/>
      <c r="L29" s="73"/>
      <c r="M29" s="73"/>
      <c r="N29" s="73"/>
      <c r="O29" s="73"/>
      <c r="P29" s="73"/>
      <c r="Q29" s="73"/>
      <c r="R29" s="72"/>
      <c r="S29" s="72"/>
      <c r="T29" s="72"/>
      <c r="U29" s="72">
        <v>9129.8799999999992</v>
      </c>
      <c r="V29" s="72"/>
      <c r="W29" s="72"/>
      <c r="X29" s="72"/>
      <c r="Y29" s="72">
        <v>32214</v>
      </c>
      <c r="Z29" s="72"/>
      <c r="AA29" s="72"/>
      <c r="AB29" s="72"/>
      <c r="AC29" s="72"/>
      <c r="AD29" s="72"/>
      <c r="AE29" s="72"/>
      <c r="AF29" s="72"/>
      <c r="AG29" s="72"/>
      <c r="AH29" s="72"/>
      <c r="AI29" s="72">
        <v>19000</v>
      </c>
      <c r="AJ29" s="72"/>
      <c r="AK29" s="72"/>
      <c r="AL29" s="68"/>
      <c r="AM29" s="40">
        <f t="shared" si="0"/>
        <v>60343.88</v>
      </c>
      <c r="AN29" s="40">
        <f t="shared" si="1"/>
        <v>20114.626666666667</v>
      </c>
      <c r="AO29" s="40">
        <f t="shared" si="2"/>
        <v>5129.2298000000001</v>
      </c>
    </row>
    <row r="30" spans="1:41" ht="21" x14ac:dyDescent="0.35">
      <c r="A30" s="26" t="s">
        <v>233</v>
      </c>
      <c r="B30" s="27" t="s">
        <v>234</v>
      </c>
      <c r="C30" s="28" t="s">
        <v>170</v>
      </c>
      <c r="D30" s="27"/>
      <c r="E30" s="27"/>
      <c r="F30" s="27"/>
      <c r="G30" s="70"/>
      <c r="H30" s="72">
        <v>23680</v>
      </c>
      <c r="I30" s="72"/>
      <c r="J30" s="72"/>
      <c r="K30" s="72"/>
      <c r="L30" s="72"/>
      <c r="M30" s="72"/>
      <c r="N30" s="72"/>
      <c r="O30" s="72"/>
      <c r="P30" s="72"/>
      <c r="Q30" s="72"/>
      <c r="R30" s="72">
        <v>6875</v>
      </c>
      <c r="S30" s="72"/>
      <c r="T30" s="72">
        <v>12849</v>
      </c>
      <c r="U30" s="72"/>
      <c r="V30" s="72"/>
      <c r="W30" s="72"/>
      <c r="X30" s="72"/>
      <c r="Y30" s="72"/>
      <c r="Z30" s="72"/>
      <c r="AA30" s="72">
        <v>6875</v>
      </c>
      <c r="AB30" s="72"/>
      <c r="AC30" s="72">
        <v>6666.67</v>
      </c>
      <c r="AD30" s="72"/>
      <c r="AE30" s="72"/>
      <c r="AF30" s="72"/>
      <c r="AG30" s="72"/>
      <c r="AH30" s="72"/>
      <c r="AI30" s="72"/>
      <c r="AJ30" s="72">
        <v>22000</v>
      </c>
      <c r="AK30" s="72"/>
      <c r="AL30" s="68"/>
      <c r="AM30" s="40"/>
      <c r="AN30" s="40"/>
      <c r="AO30" s="40"/>
    </row>
    <row r="31" spans="1:41" ht="21" x14ac:dyDescent="0.35">
      <c r="A31" s="26" t="s">
        <v>231</v>
      </c>
      <c r="B31" s="27" t="s">
        <v>232</v>
      </c>
      <c r="C31" s="60" t="s">
        <v>222</v>
      </c>
      <c r="D31" s="29" t="s">
        <v>206</v>
      </c>
      <c r="E31" s="27" t="s">
        <v>190</v>
      </c>
      <c r="F31" s="27" t="s">
        <v>207</v>
      </c>
      <c r="G31" s="69" t="s">
        <v>208</v>
      </c>
      <c r="H31" s="72"/>
      <c r="I31" s="72"/>
      <c r="J31" s="72"/>
      <c r="K31" s="72">
        <v>24000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>
        <v>23289.84</v>
      </c>
      <c r="AC31" s="72"/>
      <c r="AD31" s="72"/>
      <c r="AE31" s="72"/>
      <c r="AF31" s="72"/>
      <c r="AG31" s="72"/>
      <c r="AH31" s="72"/>
      <c r="AI31" s="73"/>
      <c r="AJ31" s="68"/>
      <c r="AK31" s="72">
        <v>16000</v>
      </c>
      <c r="AL31" s="68"/>
      <c r="AM31" s="40">
        <f t="shared" si="0"/>
        <v>63289.84</v>
      </c>
      <c r="AN31" s="40">
        <f t="shared" si="1"/>
        <v>21096.613333333331</v>
      </c>
      <c r="AO31" s="40">
        <f t="shared" si="2"/>
        <v>5379.6364000000003</v>
      </c>
    </row>
    <row r="32" spans="1:41" ht="21" x14ac:dyDescent="0.35">
      <c r="A32" s="27" t="s">
        <v>229</v>
      </c>
      <c r="B32" s="27" t="s">
        <v>230</v>
      </c>
      <c r="C32" s="60" t="s">
        <v>225</v>
      </c>
      <c r="D32" s="50"/>
      <c r="E32" s="35"/>
      <c r="F32" s="35"/>
      <c r="G32" s="35"/>
      <c r="H32" s="72"/>
      <c r="I32" s="72"/>
      <c r="J32" s="72"/>
      <c r="K32" s="72"/>
      <c r="L32" s="72"/>
      <c r="M32" s="72"/>
      <c r="N32" s="72">
        <v>15000</v>
      </c>
      <c r="O32" s="72"/>
      <c r="P32" s="72"/>
      <c r="Q32" s="72"/>
      <c r="R32" s="72">
        <v>33384.269999999997</v>
      </c>
      <c r="S32" s="72"/>
      <c r="T32" s="72"/>
      <c r="U32" s="72"/>
      <c r="V32" s="72"/>
      <c r="W32" s="72"/>
      <c r="X32" s="72"/>
      <c r="Y32" s="72"/>
      <c r="Z32" s="72"/>
      <c r="AA32" s="72"/>
      <c r="AB32" s="72">
        <v>16567.62</v>
      </c>
      <c r="AC32" s="72"/>
      <c r="AD32" s="72"/>
      <c r="AE32" s="72"/>
      <c r="AF32" s="72"/>
      <c r="AG32" s="72">
        <v>32960</v>
      </c>
      <c r="AH32" s="72">
        <v>15.41</v>
      </c>
      <c r="AI32" s="72"/>
      <c r="AJ32" s="72"/>
      <c r="AK32" s="72"/>
      <c r="AL32" s="68"/>
      <c r="AM32" s="40">
        <f t="shared" ref="AM32" si="3">SUM(H32:AL32)</f>
        <v>97927.3</v>
      </c>
      <c r="AN32" s="40">
        <f t="shared" ref="AN32" si="4">AVERAGE(H32:AK32)</f>
        <v>19585.46</v>
      </c>
      <c r="AO32" s="40">
        <f t="shared" ref="AO32" si="5">AM32*8.5%</f>
        <v>8323.8205000000016</v>
      </c>
    </row>
    <row r="33" spans="1:41" ht="21" x14ac:dyDescent="0.35">
      <c r="A33" s="27" t="s">
        <v>238</v>
      </c>
      <c r="B33" s="27" t="s">
        <v>239</v>
      </c>
      <c r="C33" s="28" t="s">
        <v>129</v>
      </c>
      <c r="D33" s="50"/>
      <c r="E33" s="35"/>
      <c r="F33" s="35"/>
      <c r="G33" s="35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>
        <v>6875</v>
      </c>
      <c r="W33" s="72"/>
      <c r="X33" s="72"/>
      <c r="Y33" s="72">
        <v>12849</v>
      </c>
      <c r="Z33" s="72"/>
      <c r="AA33" s="72"/>
      <c r="AB33" s="72"/>
      <c r="AC33" s="72"/>
      <c r="AD33" s="72">
        <v>22000</v>
      </c>
      <c r="AE33" s="72"/>
      <c r="AF33" s="72"/>
      <c r="AG33" s="72"/>
      <c r="AH33" s="72"/>
      <c r="AI33" s="72">
        <v>16000</v>
      </c>
      <c r="AJ33" s="72"/>
      <c r="AK33" s="72"/>
      <c r="AL33" s="68"/>
      <c r="AM33" s="40"/>
      <c r="AN33" s="40"/>
      <c r="AO33" s="40"/>
    </row>
    <row r="34" spans="1:41" ht="21" x14ac:dyDescent="0.35">
      <c r="A34" s="27" t="s">
        <v>240</v>
      </c>
      <c r="B34" s="27" t="s">
        <v>241</v>
      </c>
      <c r="C34" s="28" t="s">
        <v>242</v>
      </c>
      <c r="D34" s="50"/>
      <c r="E34" s="35"/>
      <c r="F34" s="35"/>
      <c r="G34" s="35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>
        <v>23680</v>
      </c>
      <c r="W34" s="72"/>
      <c r="X34" s="72"/>
      <c r="Y34" s="72">
        <v>11180</v>
      </c>
      <c r="Z34" s="72"/>
      <c r="AA34" s="72"/>
      <c r="AB34" s="72"/>
      <c r="AC34" s="72"/>
      <c r="AD34" s="72"/>
      <c r="AE34" s="72"/>
      <c r="AF34" s="72"/>
      <c r="AG34" s="72"/>
      <c r="AH34" s="72">
        <v>12546.03</v>
      </c>
      <c r="AI34" s="72"/>
      <c r="AJ34" s="72"/>
      <c r="AK34" s="72"/>
      <c r="AL34" s="68"/>
      <c r="AM34" s="40"/>
      <c r="AN34" s="40"/>
      <c r="AO34" s="40"/>
    </row>
    <row r="35" spans="1:41" ht="21" x14ac:dyDescent="0.35">
      <c r="A35" s="26" t="s">
        <v>245</v>
      </c>
      <c r="B35" s="27" t="s">
        <v>246</v>
      </c>
      <c r="C35" s="28" t="s">
        <v>247</v>
      </c>
      <c r="D35" s="50"/>
      <c r="E35" s="35"/>
      <c r="F35" s="35"/>
      <c r="G35" s="35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>
        <v>33000</v>
      </c>
      <c r="AC35" s="72"/>
      <c r="AD35" s="72"/>
      <c r="AE35" s="72"/>
      <c r="AF35" s="72"/>
      <c r="AG35" s="72"/>
      <c r="AH35" s="72"/>
      <c r="AI35" s="72">
        <v>18759.87</v>
      </c>
      <c r="AJ35" s="72"/>
      <c r="AK35" s="72"/>
      <c r="AL35" s="68"/>
      <c r="AM35" s="40"/>
      <c r="AN35" s="40"/>
      <c r="AO35" s="40"/>
    </row>
    <row r="36" spans="1:41" ht="21" x14ac:dyDescent="0.35">
      <c r="A36" s="26" t="s">
        <v>251</v>
      </c>
      <c r="B36" s="27" t="s">
        <v>252</v>
      </c>
      <c r="C36" s="28" t="s">
        <v>250</v>
      </c>
      <c r="D36" s="50"/>
      <c r="E36" s="35"/>
      <c r="F36" s="35"/>
      <c r="G36" s="35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>
        <v>5096.17</v>
      </c>
      <c r="AD36" s="72"/>
      <c r="AE36" s="72">
        <v>5117.88</v>
      </c>
      <c r="AF36" s="72"/>
      <c r="AG36" s="72"/>
      <c r="AH36" s="72">
        <v>6875</v>
      </c>
      <c r="AI36" s="72"/>
      <c r="AJ36" s="72">
        <v>5096.16</v>
      </c>
      <c r="AK36" s="72">
        <v>5117.87</v>
      </c>
      <c r="AL36" s="68"/>
      <c r="AM36" s="40"/>
      <c r="AN36" s="40"/>
      <c r="AO36" s="40"/>
    </row>
    <row r="37" spans="1:41" ht="21" x14ac:dyDescent="0.35">
      <c r="A37" s="26" t="s">
        <v>224</v>
      </c>
      <c r="B37" s="27"/>
      <c r="C37" s="57" t="s">
        <v>226</v>
      </c>
      <c r="D37" s="74"/>
      <c r="E37" s="75"/>
      <c r="F37" s="75"/>
      <c r="G37" s="75"/>
      <c r="H37" s="68"/>
      <c r="I37" s="68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68"/>
      <c r="AM37" s="40">
        <f t="shared" si="0"/>
        <v>0</v>
      </c>
      <c r="AN37" s="40" t="e">
        <f t="shared" si="1"/>
        <v>#DIV/0!</v>
      </c>
      <c r="AO37" s="40">
        <f t="shared" si="2"/>
        <v>0</v>
      </c>
    </row>
    <row r="38" spans="1:41" ht="21" x14ac:dyDescent="0.35">
      <c r="A38" s="76" t="s">
        <v>236</v>
      </c>
      <c r="B38" s="77" t="s">
        <v>237</v>
      </c>
      <c r="C38" s="78" t="s">
        <v>111</v>
      </c>
      <c r="D38" s="80"/>
      <c r="E38" s="81"/>
      <c r="F38" s="81"/>
      <c r="G38" s="81"/>
      <c r="H38" s="82"/>
      <c r="I38" s="82"/>
      <c r="J38" s="82"/>
      <c r="K38" s="82"/>
      <c r="L38" s="82"/>
      <c r="M38" s="82"/>
      <c r="N38" s="82"/>
      <c r="O38" s="82">
        <v>6875</v>
      </c>
      <c r="P38" s="82"/>
      <c r="Q38" s="82"/>
      <c r="R38" s="82"/>
      <c r="S38" s="82">
        <v>6666.67</v>
      </c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40">
        <f t="shared" si="0"/>
        <v>13541.67</v>
      </c>
      <c r="AN38" s="40">
        <f t="shared" si="1"/>
        <v>6770.835</v>
      </c>
      <c r="AO38" s="40">
        <f t="shared" si="2"/>
        <v>1151.04195</v>
      </c>
    </row>
    <row r="39" spans="1:41" ht="21" x14ac:dyDescent="0.35">
      <c r="A39" s="26" t="s">
        <v>244</v>
      </c>
      <c r="B39" s="27"/>
      <c r="C39" s="60" t="s">
        <v>223</v>
      </c>
      <c r="D39" s="50"/>
      <c r="E39" s="35"/>
      <c r="F39" s="35"/>
      <c r="G39" s="35"/>
      <c r="H39" s="73"/>
      <c r="I39" s="73"/>
      <c r="J39" s="73"/>
      <c r="K39" s="73"/>
      <c r="L39" s="73"/>
      <c r="M39" s="73"/>
      <c r="N39" s="73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68"/>
      <c r="AM39" s="40">
        <f t="shared" si="0"/>
        <v>0</v>
      </c>
      <c r="AN39" s="40" t="e">
        <f t="shared" si="1"/>
        <v>#DIV/0!</v>
      </c>
      <c r="AO39" s="40">
        <f t="shared" si="2"/>
        <v>0</v>
      </c>
    </row>
    <row r="40" spans="1:41" ht="21" x14ac:dyDescent="0.35">
      <c r="A40" s="27" t="s">
        <v>212</v>
      </c>
      <c r="B40" s="27"/>
      <c r="C40" s="28"/>
      <c r="D40" s="50"/>
      <c r="E40" s="35"/>
      <c r="F40" s="35"/>
      <c r="G40" s="35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>
        <v>3078</v>
      </c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68"/>
      <c r="AM40" s="40">
        <f t="shared" si="0"/>
        <v>3078</v>
      </c>
      <c r="AN40" s="40">
        <f t="shared" si="1"/>
        <v>3078</v>
      </c>
      <c r="AO40" s="40">
        <f t="shared" si="2"/>
        <v>261.63</v>
      </c>
    </row>
    <row r="41" spans="1:41" ht="21" x14ac:dyDescent="0.35">
      <c r="C41" s="34" t="s">
        <v>1</v>
      </c>
      <c r="D41" s="35"/>
      <c r="E41" s="34"/>
      <c r="H41" s="38">
        <f>SUM(H5:H31)</f>
        <v>80572.69</v>
      </c>
      <c r="I41" s="38">
        <f>SUM(I5:I40)</f>
        <v>0</v>
      </c>
      <c r="J41" s="38">
        <f>SUM(J5:J31)</f>
        <v>26875</v>
      </c>
      <c r="K41" s="38">
        <f>SUM(K5:K31)</f>
        <v>71444.55</v>
      </c>
      <c r="L41" s="38">
        <f t="shared" ref="L41:T41" si="6">SUM(L5:L40)</f>
        <v>90097.71</v>
      </c>
      <c r="M41" s="38">
        <f t="shared" si="6"/>
        <v>43450</v>
      </c>
      <c r="N41" s="38">
        <f t="shared" si="6"/>
        <v>105470.78</v>
      </c>
      <c r="O41" s="38">
        <f t="shared" si="6"/>
        <v>59541.66</v>
      </c>
      <c r="P41" s="38">
        <f t="shared" si="6"/>
        <v>53960</v>
      </c>
      <c r="Q41" s="38">
        <f t="shared" si="6"/>
        <v>32642.73</v>
      </c>
      <c r="R41" s="38">
        <f t="shared" si="6"/>
        <v>81257.109999999986</v>
      </c>
      <c r="S41" s="38">
        <f t="shared" si="6"/>
        <v>121348.86</v>
      </c>
      <c r="T41" s="38">
        <f t="shared" si="6"/>
        <v>63137.350000000006</v>
      </c>
      <c r="U41" s="38">
        <f>SUM(U5:U31)</f>
        <v>45100.049999999996</v>
      </c>
      <c r="V41" s="38">
        <f>SUM(V5:V40)</f>
        <v>115281.65</v>
      </c>
      <c r="W41" s="38">
        <f>SUM(W5:W31)</f>
        <v>0</v>
      </c>
      <c r="X41" s="38">
        <f>SUM(X5:X31)</f>
        <v>72086.39</v>
      </c>
      <c r="Y41" s="38">
        <f>SUM(Y5:Y40)</f>
        <v>59321</v>
      </c>
      <c r="Z41" s="38">
        <f>SUM(Z5:Z31)</f>
        <v>107340.04000000001</v>
      </c>
      <c r="AA41" s="38">
        <f>SUM(AA5:AA31)</f>
        <v>113367.81999999999</v>
      </c>
      <c r="AB41" s="38">
        <f>SUM(AB5:AB40)</f>
        <v>177016.68</v>
      </c>
      <c r="AC41" s="38">
        <f>SUM(AC5:AC40)</f>
        <v>50447.509999999995</v>
      </c>
      <c r="AD41" s="38">
        <f>SUM(AD5:AD40)</f>
        <v>22000</v>
      </c>
      <c r="AE41" s="38">
        <f>SUM(AE5:AE40)</f>
        <v>73925.350000000006</v>
      </c>
      <c r="AF41" s="38">
        <f t="shared" ref="AF41:AL41" si="7">SUM(AF5:AF31)</f>
        <v>73927.509999999995</v>
      </c>
      <c r="AG41" s="38">
        <f>SUM(AG5:AG40)</f>
        <v>100744.36</v>
      </c>
      <c r="AH41" s="38">
        <f>SUM(AH5:AH40)</f>
        <v>65843.13</v>
      </c>
      <c r="AI41" s="38">
        <f>SUM(AI5:AI40)</f>
        <v>164854.41999999998</v>
      </c>
      <c r="AJ41" s="38">
        <f>SUM(AJ5:AJ40)</f>
        <v>148730.84</v>
      </c>
      <c r="AK41" s="38">
        <f>SUM(AK5:AK40)</f>
        <v>124182.04</v>
      </c>
      <c r="AL41" s="38">
        <f t="shared" si="7"/>
        <v>0</v>
      </c>
      <c r="AM41" s="40">
        <f t="shared" si="0"/>
        <v>2343967.23</v>
      </c>
      <c r="AN41" s="40" t="e">
        <f>SUM(AN5:AN31)</f>
        <v>#DIV/0!</v>
      </c>
      <c r="AO41" s="40">
        <f>SUM(AO5:AO31)</f>
        <v>167133.93685</v>
      </c>
    </row>
    <row r="42" spans="1:41" x14ac:dyDescent="0.25">
      <c r="D42" s="33" t="s">
        <v>9</v>
      </c>
      <c r="H42" s="24">
        <v>45962</v>
      </c>
      <c r="I42" s="24">
        <v>45963</v>
      </c>
      <c r="J42" s="24">
        <v>45964</v>
      </c>
      <c r="K42" s="24">
        <v>45965</v>
      </c>
      <c r="L42" s="24">
        <v>45966</v>
      </c>
      <c r="M42" s="24">
        <v>45967</v>
      </c>
      <c r="N42" s="24">
        <v>45968</v>
      </c>
      <c r="O42" s="24">
        <v>45969</v>
      </c>
      <c r="P42" s="24">
        <v>45970</v>
      </c>
      <c r="Q42" s="24">
        <v>45971</v>
      </c>
      <c r="R42" s="24">
        <v>45972</v>
      </c>
      <c r="S42" s="24">
        <v>45973</v>
      </c>
      <c r="T42" s="24">
        <v>45974</v>
      </c>
      <c r="U42" s="24">
        <v>45975</v>
      </c>
      <c r="V42" s="24">
        <v>45976</v>
      </c>
      <c r="W42" s="24">
        <v>45977</v>
      </c>
      <c r="X42" s="24">
        <v>45978</v>
      </c>
      <c r="Y42" s="24">
        <v>45979</v>
      </c>
      <c r="Z42" s="24">
        <v>45980</v>
      </c>
      <c r="AA42" s="24">
        <v>45981</v>
      </c>
      <c r="AB42" s="24">
        <v>45982</v>
      </c>
      <c r="AC42" s="24">
        <v>45983</v>
      </c>
      <c r="AD42" s="24">
        <v>45984</v>
      </c>
      <c r="AE42" s="24">
        <v>45985</v>
      </c>
      <c r="AF42" s="24">
        <v>45986</v>
      </c>
      <c r="AG42" s="24">
        <v>45987</v>
      </c>
      <c r="AH42" s="24">
        <v>45988</v>
      </c>
      <c r="AI42" s="24">
        <v>45989</v>
      </c>
      <c r="AJ42" s="24">
        <v>45990</v>
      </c>
      <c r="AK42" s="24">
        <v>45991</v>
      </c>
      <c r="AL42" s="24"/>
      <c r="AN42" t="s">
        <v>9</v>
      </c>
      <c r="AO42" t="s">
        <v>9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284F-6A36-49B9-A82C-A3A81E545D9C}">
  <dimension ref="C4:M43"/>
  <sheetViews>
    <sheetView tabSelected="1" topLeftCell="A10" workbookViewId="0">
      <selection activeCell="I10" sqref="I10"/>
    </sheetView>
  </sheetViews>
  <sheetFormatPr defaultRowHeight="15" x14ac:dyDescent="0.25"/>
  <cols>
    <col min="3" max="3" width="7" bestFit="1" customWidth="1"/>
    <col min="4" max="4" width="14" bestFit="1" customWidth="1"/>
    <col min="5" max="5" width="21.5703125" bestFit="1" customWidth="1"/>
    <col min="6" max="6" width="7" bestFit="1" customWidth="1"/>
    <col min="7" max="7" width="15.5703125" bestFit="1" customWidth="1"/>
    <col min="8" max="9" width="20.42578125" customWidth="1"/>
    <col min="10" max="10" width="16.5703125" bestFit="1" customWidth="1"/>
    <col min="11" max="11" width="27.7109375" customWidth="1"/>
    <col min="12" max="12" width="13.42578125" style="12" customWidth="1"/>
    <col min="13" max="13" width="14.42578125" bestFit="1" customWidth="1"/>
  </cols>
  <sheetData>
    <row r="4" spans="3:13" ht="24" x14ac:dyDescent="0.4">
      <c r="C4" s="88" t="s">
        <v>10</v>
      </c>
      <c r="D4" s="88"/>
      <c r="E4" s="88"/>
      <c r="F4" s="88"/>
      <c r="G4" s="88"/>
      <c r="H4" s="88"/>
      <c r="I4" s="88"/>
      <c r="J4" s="88"/>
      <c r="K4" s="88"/>
    </row>
    <row r="5" spans="3:13" ht="19.5" thickBot="1" x14ac:dyDescent="0.35">
      <c r="C5" s="13"/>
      <c r="D5" s="13"/>
      <c r="E5" s="13"/>
      <c r="F5" s="13"/>
      <c r="G5" s="13"/>
      <c r="H5" s="13"/>
      <c r="I5" s="13"/>
      <c r="J5" s="13"/>
      <c r="K5" s="13"/>
    </row>
    <row r="6" spans="3:13" ht="15.75" thickBot="1" x14ac:dyDescent="0.3">
      <c r="C6" s="20" t="s">
        <v>15</v>
      </c>
      <c r="D6" s="21" t="s">
        <v>14</v>
      </c>
      <c r="E6" s="21" t="s">
        <v>16</v>
      </c>
      <c r="F6" s="21"/>
      <c r="G6" s="22" t="s">
        <v>17</v>
      </c>
    </row>
    <row r="7" spans="3:13" x14ac:dyDescent="0.25">
      <c r="C7" s="16">
        <v>4</v>
      </c>
      <c r="D7" s="17" t="s">
        <v>11</v>
      </c>
      <c r="E7" s="18">
        <v>70000</v>
      </c>
      <c r="F7" s="17"/>
      <c r="G7" s="19">
        <f>E7*C7</f>
        <v>280000</v>
      </c>
    </row>
    <row r="8" spans="3:13" ht="15.75" thickBot="1" x14ac:dyDescent="0.3">
      <c r="C8" s="16">
        <v>27</v>
      </c>
      <c r="D8" s="17" t="s">
        <v>12</v>
      </c>
      <c r="E8" s="18">
        <v>100000</v>
      </c>
      <c r="F8" s="17"/>
      <c r="G8" s="19">
        <f>E8*C8</f>
        <v>2700000</v>
      </c>
    </row>
    <row r="9" spans="3:13" ht="15.75" thickBot="1" x14ac:dyDescent="0.3">
      <c r="C9" s="20"/>
      <c r="D9" s="21"/>
      <c r="E9" s="21" t="s">
        <v>13</v>
      </c>
      <c r="F9" s="21"/>
      <c r="G9" s="23">
        <f>SUM(G7:G8)</f>
        <v>2980000</v>
      </c>
    </row>
    <row r="11" spans="3:13" x14ac:dyDescent="0.25">
      <c r="G11" s="1" t="s">
        <v>0</v>
      </c>
    </row>
    <row r="12" spans="3:13" ht="30.75" x14ac:dyDescent="0.3">
      <c r="C12" s="41" t="s">
        <v>1</v>
      </c>
      <c r="D12" s="42" t="s">
        <v>2</v>
      </c>
      <c r="E12" s="42" t="s">
        <v>3</v>
      </c>
      <c r="F12" s="41" t="s">
        <v>1</v>
      </c>
      <c r="G12" s="43" t="s">
        <v>4</v>
      </c>
      <c r="H12" s="43" t="s">
        <v>5</v>
      </c>
      <c r="I12" s="43" t="s">
        <v>6</v>
      </c>
      <c r="J12" s="41" t="s">
        <v>7</v>
      </c>
      <c r="K12" s="41" t="s">
        <v>8</v>
      </c>
      <c r="L12" s="45" t="s">
        <v>211</v>
      </c>
      <c r="M12" s="44" t="s">
        <v>210</v>
      </c>
    </row>
    <row r="13" spans="3:13" x14ac:dyDescent="0.25">
      <c r="C13" s="2">
        <v>45992</v>
      </c>
      <c r="D13" s="3">
        <f>AVERAGE(G13)</f>
        <v>57375</v>
      </c>
      <c r="E13" s="3">
        <f>D13*30</f>
        <v>1721250</v>
      </c>
      <c r="F13" s="2">
        <v>45992</v>
      </c>
      <c r="G13" s="4">
        <f>'PRODUÇAO (DEZ)'!H38</f>
        <v>57375</v>
      </c>
      <c r="H13" s="5">
        <f>G13</f>
        <v>57375</v>
      </c>
      <c r="I13" s="6">
        <f>H13/3000000</f>
        <v>1.9125E-2</v>
      </c>
      <c r="J13" s="5">
        <f>H13*30</f>
        <v>1721250</v>
      </c>
      <c r="K13" s="7">
        <f>J13-3000000</f>
        <v>-1278750</v>
      </c>
      <c r="L13" s="46">
        <f>J13/3000000</f>
        <v>0.57374999999999998</v>
      </c>
      <c r="M13" s="15">
        <f>G13*8.6%</f>
        <v>4934.25</v>
      </c>
    </row>
    <row r="14" spans="3:13" x14ac:dyDescent="0.25">
      <c r="C14" s="2">
        <v>45993</v>
      </c>
      <c r="D14" s="3">
        <f>AVERAGE(G13:G14)</f>
        <v>46681.824999999997</v>
      </c>
      <c r="E14" s="3">
        <f t="shared" ref="E14:E42" si="0">D14*30</f>
        <v>1400454.75</v>
      </c>
      <c r="F14" s="2">
        <v>45993</v>
      </c>
      <c r="G14" s="4">
        <f>'PRODUÇAO (DEZ)'!I38</f>
        <v>35988.649999999994</v>
      </c>
      <c r="H14" s="8">
        <f>H13+G14</f>
        <v>93363.65</v>
      </c>
      <c r="I14" s="6">
        <f t="shared" ref="I14:I43" si="1">H14/3000000</f>
        <v>3.1121216666666663E-2</v>
      </c>
      <c r="J14" s="9">
        <f>H14/2*30</f>
        <v>1400454.75</v>
      </c>
      <c r="K14" s="7">
        <f t="shared" ref="K14:K43" si="2">J14-3000000</f>
        <v>-1599545.25</v>
      </c>
      <c r="L14" s="46">
        <f>J14/3000000</f>
        <v>0.46681824999999999</v>
      </c>
      <c r="M14" s="15">
        <f t="shared" ref="M14:M43" si="3">G14*8.6%</f>
        <v>3095.0238999999992</v>
      </c>
    </row>
    <row r="15" spans="3:13" x14ac:dyDescent="0.25">
      <c r="C15" s="2">
        <v>45994</v>
      </c>
      <c r="D15" s="3">
        <f>AVERAGE(G13:G15)</f>
        <v>58952.963333333326</v>
      </c>
      <c r="E15" s="3">
        <f t="shared" si="0"/>
        <v>1768588.8999999997</v>
      </c>
      <c r="F15" s="2">
        <v>45994</v>
      </c>
      <c r="G15" s="4">
        <f>'PRODUÇAO (DEZ)'!J38</f>
        <v>83495.239999999991</v>
      </c>
      <c r="H15" s="8">
        <f t="shared" ref="H15:H43" si="4">H14+G15</f>
        <v>176858.88999999998</v>
      </c>
      <c r="I15" s="6">
        <f t="shared" si="1"/>
        <v>5.895296333333333E-2</v>
      </c>
      <c r="J15" s="9">
        <f>H15/3*30</f>
        <v>1768588.8999999997</v>
      </c>
      <c r="K15" s="7">
        <f t="shared" si="2"/>
        <v>-1231411.1000000003</v>
      </c>
      <c r="L15" s="46">
        <f t="shared" ref="L15:L43" si="5">J15/3000000</f>
        <v>0.58952963333333319</v>
      </c>
      <c r="M15" s="15">
        <f t="shared" si="3"/>
        <v>7180.5906399999985</v>
      </c>
    </row>
    <row r="16" spans="3:13" x14ac:dyDescent="0.25">
      <c r="C16" s="2">
        <v>45995</v>
      </c>
      <c r="D16" s="3">
        <f>AVERAGE(G13:G16)</f>
        <v>76534.777499999997</v>
      </c>
      <c r="E16" s="3">
        <f t="shared" si="0"/>
        <v>2296043.3249999997</v>
      </c>
      <c r="F16" s="2">
        <v>45995</v>
      </c>
      <c r="G16" s="4">
        <f>'PRODUÇAO (DEZ)'!K38</f>
        <v>129280.22</v>
      </c>
      <c r="H16" s="8">
        <f>H15+G16</f>
        <v>306139.11</v>
      </c>
      <c r="I16" s="6">
        <f t="shared" si="1"/>
        <v>0.10204637</v>
      </c>
      <c r="J16" s="9">
        <f>H16/4*30</f>
        <v>2296043.3249999997</v>
      </c>
      <c r="K16" s="7">
        <f t="shared" si="2"/>
        <v>-703956.67500000028</v>
      </c>
      <c r="L16" s="46">
        <f t="shared" si="5"/>
        <v>0.76534777499999995</v>
      </c>
      <c r="M16" s="15">
        <f t="shared" si="3"/>
        <v>11118.098919999999</v>
      </c>
    </row>
    <row r="17" spans="3:13" x14ac:dyDescent="0.25">
      <c r="C17" s="2">
        <v>45996</v>
      </c>
      <c r="D17" s="3">
        <f>AVERAGE(G13:G17)</f>
        <v>88707.3</v>
      </c>
      <c r="E17" s="3">
        <f t="shared" si="0"/>
        <v>2661219</v>
      </c>
      <c r="F17" s="2">
        <v>45996</v>
      </c>
      <c r="G17" s="4">
        <f>'PRODUÇAO (DEZ)'!L38</f>
        <v>137397.39000000001</v>
      </c>
      <c r="H17" s="8">
        <f t="shared" si="4"/>
        <v>443536.5</v>
      </c>
      <c r="I17" s="6">
        <f t="shared" si="1"/>
        <v>0.14784549999999999</v>
      </c>
      <c r="J17" s="9">
        <f>H17/5*30</f>
        <v>2661219</v>
      </c>
      <c r="K17" s="7">
        <f t="shared" si="2"/>
        <v>-338781</v>
      </c>
      <c r="L17" s="46">
        <f t="shared" si="5"/>
        <v>0.887073</v>
      </c>
      <c r="M17" s="15">
        <f t="shared" si="3"/>
        <v>11816.17554</v>
      </c>
    </row>
    <row r="18" spans="3:13" x14ac:dyDescent="0.25">
      <c r="C18" s="2">
        <v>45997</v>
      </c>
      <c r="D18" s="3">
        <f>AVERAGE(G13:G18)</f>
        <v>94084.658333333326</v>
      </c>
      <c r="E18" s="3">
        <f t="shared" si="0"/>
        <v>2822539.75</v>
      </c>
      <c r="F18" s="2">
        <v>45997</v>
      </c>
      <c r="G18" s="4">
        <f>'PRODUÇAO (DEZ)'!M38</f>
        <v>120971.45</v>
      </c>
      <c r="H18" s="8">
        <f>H17+G18</f>
        <v>564507.94999999995</v>
      </c>
      <c r="I18" s="6">
        <f t="shared" si="1"/>
        <v>0.18816931666666664</v>
      </c>
      <c r="J18" s="9">
        <f>H18/6*30</f>
        <v>2822539.75</v>
      </c>
      <c r="K18" s="7">
        <f t="shared" si="2"/>
        <v>-177460.25</v>
      </c>
      <c r="L18" s="46">
        <f t="shared" si="5"/>
        <v>0.94084658333333337</v>
      </c>
      <c r="M18" s="15">
        <f t="shared" si="3"/>
        <v>10403.544699999999</v>
      </c>
    </row>
    <row r="19" spans="3:13" x14ac:dyDescent="0.25">
      <c r="C19" s="2">
        <v>45998</v>
      </c>
      <c r="D19" s="3">
        <f>AVERAGE(G13:G19)</f>
        <v>82929.707142857136</v>
      </c>
      <c r="E19" s="3">
        <f t="shared" si="0"/>
        <v>2487891.2142857141</v>
      </c>
      <c r="F19" s="2">
        <v>45998</v>
      </c>
      <c r="G19" s="4">
        <f>'PRODUÇAO (DEZ)'!N38</f>
        <v>16000</v>
      </c>
      <c r="H19" s="8">
        <f t="shared" si="4"/>
        <v>580507.94999999995</v>
      </c>
      <c r="I19" s="6">
        <f t="shared" si="1"/>
        <v>0.19350265</v>
      </c>
      <c r="J19" s="9">
        <f>H19/7*30</f>
        <v>2487891.2142857141</v>
      </c>
      <c r="K19" s="7">
        <f t="shared" si="2"/>
        <v>-512108.78571428591</v>
      </c>
      <c r="L19" s="46">
        <f t="shared" si="5"/>
        <v>0.82929707142857134</v>
      </c>
      <c r="M19" s="15">
        <f t="shared" si="3"/>
        <v>1376</v>
      </c>
    </row>
    <row r="20" spans="3:13" x14ac:dyDescent="0.25">
      <c r="C20" s="2">
        <v>45999</v>
      </c>
      <c r="D20" s="3">
        <f>AVERAGE(G13:G20)</f>
        <v>88744.543749999997</v>
      </c>
      <c r="E20" s="3">
        <f t="shared" si="0"/>
        <v>2662336.3125</v>
      </c>
      <c r="F20" s="2">
        <v>45999</v>
      </c>
      <c r="G20" s="4">
        <f>'PRODUÇAO (DEZ)'!O38</f>
        <v>129448.4</v>
      </c>
      <c r="H20" s="8">
        <f t="shared" si="4"/>
        <v>709956.35</v>
      </c>
      <c r="I20" s="6">
        <f t="shared" si="1"/>
        <v>0.23665211666666666</v>
      </c>
      <c r="J20" s="9">
        <f>H20/8*30</f>
        <v>2662336.3125</v>
      </c>
      <c r="K20" s="7">
        <f t="shared" si="2"/>
        <v>-337663.6875</v>
      </c>
      <c r="L20" s="46">
        <f t="shared" si="5"/>
        <v>0.88744543750000005</v>
      </c>
      <c r="M20" s="15">
        <f t="shared" si="3"/>
        <v>11132.562399999999</v>
      </c>
    </row>
    <row r="21" spans="3:13" x14ac:dyDescent="0.25">
      <c r="C21" s="2">
        <v>46000</v>
      </c>
      <c r="D21" s="3">
        <f>AVERAGE(G13:G21)</f>
        <v>82827.372222222213</v>
      </c>
      <c r="E21" s="3">
        <f t="shared" si="0"/>
        <v>2484821.1666666665</v>
      </c>
      <c r="F21" s="2">
        <v>46000</v>
      </c>
      <c r="G21" s="4">
        <f>'PRODUÇAO (DEZ)'!P38</f>
        <v>35490</v>
      </c>
      <c r="H21" s="8">
        <f t="shared" si="4"/>
        <v>745446.35</v>
      </c>
      <c r="I21" s="6">
        <f t="shared" si="1"/>
        <v>0.24848211666666667</v>
      </c>
      <c r="J21" s="9">
        <f>H21/9*30</f>
        <v>2484821.1666666665</v>
      </c>
      <c r="K21" s="7">
        <f t="shared" si="2"/>
        <v>-515178.83333333349</v>
      </c>
      <c r="L21" s="46">
        <f t="shared" si="5"/>
        <v>0.82827372222222218</v>
      </c>
      <c r="M21" s="15">
        <f t="shared" si="3"/>
        <v>3052.14</v>
      </c>
    </row>
    <row r="22" spans="3:13" x14ac:dyDescent="0.25">
      <c r="C22" s="2">
        <v>46001</v>
      </c>
      <c r="D22" s="3">
        <f>AVERAGE(G13:G22)</f>
        <v>87264.888999999996</v>
      </c>
      <c r="E22" s="3">
        <f t="shared" si="0"/>
        <v>2617946.67</v>
      </c>
      <c r="F22" s="2">
        <v>46001</v>
      </c>
      <c r="G22" s="4">
        <f>'PRODUÇAO (DEZ)'!Q38</f>
        <v>127202.54</v>
      </c>
      <c r="H22" s="8">
        <f t="shared" si="4"/>
        <v>872648.89</v>
      </c>
      <c r="I22" s="6">
        <f t="shared" si="1"/>
        <v>0.29088296333333336</v>
      </c>
      <c r="J22" s="9">
        <f>H22/10*30</f>
        <v>2617946.67</v>
      </c>
      <c r="K22" s="7">
        <f t="shared" si="2"/>
        <v>-382053.33000000007</v>
      </c>
      <c r="L22" s="46">
        <f t="shared" si="5"/>
        <v>0.87264889000000001</v>
      </c>
      <c r="M22" s="15">
        <f t="shared" si="3"/>
        <v>10939.418439999999</v>
      </c>
    </row>
    <row r="23" spans="3:13" x14ac:dyDescent="0.25">
      <c r="C23" s="2">
        <v>46002</v>
      </c>
      <c r="D23" s="3">
        <f>AVERAGE(G13:G23)</f>
        <v>89852.285454545461</v>
      </c>
      <c r="E23" s="3">
        <f t="shared" si="0"/>
        <v>2695568.5636363639</v>
      </c>
      <c r="F23" s="2">
        <v>46002</v>
      </c>
      <c r="G23" s="4">
        <f>'PRODUÇAO (DEZ)'!R38</f>
        <v>115726.25</v>
      </c>
      <c r="H23" s="8">
        <f t="shared" si="4"/>
        <v>988375.14</v>
      </c>
      <c r="I23" s="6">
        <f t="shared" si="1"/>
        <v>0.32945838</v>
      </c>
      <c r="J23" s="9">
        <f>H23/11*30</f>
        <v>2695568.5636363639</v>
      </c>
      <c r="K23" s="7">
        <f t="shared" si="2"/>
        <v>-304431.43636363605</v>
      </c>
      <c r="L23" s="46">
        <f t="shared" si="5"/>
        <v>0.89852285454545466</v>
      </c>
      <c r="M23" s="15">
        <f t="shared" si="3"/>
        <v>9952.4574999999986</v>
      </c>
    </row>
    <row r="24" spans="3:13" x14ac:dyDescent="0.25">
      <c r="C24" s="2">
        <v>46003</v>
      </c>
      <c r="D24" s="3">
        <f>AVERAGE(G13:G24)</f>
        <v>82364.595000000001</v>
      </c>
      <c r="E24" s="3">
        <f t="shared" si="0"/>
        <v>2470937.85</v>
      </c>
      <c r="F24" s="2">
        <v>46003</v>
      </c>
      <c r="G24" s="4">
        <f>'PRODUÇAO (DEZ)'!S38</f>
        <v>0</v>
      </c>
      <c r="H24" s="8">
        <f t="shared" si="4"/>
        <v>988375.14</v>
      </c>
      <c r="I24" s="6">
        <f t="shared" si="1"/>
        <v>0.32945838</v>
      </c>
      <c r="J24" s="9">
        <f>H24/12*30</f>
        <v>2470937.85</v>
      </c>
      <c r="K24" s="7">
        <f t="shared" si="2"/>
        <v>-529062.14999999991</v>
      </c>
      <c r="L24" s="46">
        <f t="shared" si="5"/>
        <v>0.82364595000000007</v>
      </c>
      <c r="M24" s="15">
        <f t="shared" si="3"/>
        <v>0</v>
      </c>
    </row>
    <row r="25" spans="3:13" x14ac:dyDescent="0.25">
      <c r="C25" s="2">
        <v>46004</v>
      </c>
      <c r="D25" s="3">
        <f>AVERAGE(G13:G25)</f>
        <v>76028.856923076921</v>
      </c>
      <c r="E25" s="3">
        <f t="shared" si="0"/>
        <v>2280865.7076923074</v>
      </c>
      <c r="F25" s="2">
        <v>46004</v>
      </c>
      <c r="G25" s="4">
        <f>'PRODUÇAO (DEZ)'!T38</f>
        <v>0</v>
      </c>
      <c r="H25" s="8">
        <f t="shared" si="4"/>
        <v>988375.14</v>
      </c>
      <c r="I25" s="6">
        <f t="shared" si="1"/>
        <v>0.32945838</v>
      </c>
      <c r="J25" s="9">
        <f>H25/13*30</f>
        <v>2280865.7076923074</v>
      </c>
      <c r="K25" s="7">
        <f t="shared" si="2"/>
        <v>-719134.29230769258</v>
      </c>
      <c r="L25" s="46">
        <f t="shared" si="5"/>
        <v>0.76028856923076915</v>
      </c>
      <c r="M25" s="15">
        <f t="shared" si="3"/>
        <v>0</v>
      </c>
    </row>
    <row r="26" spans="3:13" x14ac:dyDescent="0.25">
      <c r="C26" s="2">
        <v>46005</v>
      </c>
      <c r="D26" s="3">
        <f>AVERAGE(G13:G26)</f>
        <v>70598.224285714285</v>
      </c>
      <c r="E26" s="3">
        <f t="shared" si="0"/>
        <v>2117946.7285714285</v>
      </c>
      <c r="F26" s="2">
        <v>46005</v>
      </c>
      <c r="G26" s="4">
        <f>'PRODUÇAO (DEZ)'!U38</f>
        <v>0</v>
      </c>
      <c r="H26" s="8">
        <f t="shared" si="4"/>
        <v>988375.14</v>
      </c>
      <c r="I26" s="6">
        <f t="shared" si="1"/>
        <v>0.32945838</v>
      </c>
      <c r="J26" s="9">
        <f>H26/14*30</f>
        <v>2117946.7285714285</v>
      </c>
      <c r="K26" s="7">
        <f t="shared" si="2"/>
        <v>-882053.27142857155</v>
      </c>
      <c r="L26" s="46">
        <f t="shared" si="5"/>
        <v>0.70598224285714284</v>
      </c>
      <c r="M26" s="15">
        <f t="shared" si="3"/>
        <v>0</v>
      </c>
    </row>
    <row r="27" spans="3:13" x14ac:dyDescent="0.25">
      <c r="C27" s="2">
        <v>46006</v>
      </c>
      <c r="D27" s="3">
        <f>AVERAGE(G13:G27)</f>
        <v>65891.676000000007</v>
      </c>
      <c r="E27" s="3">
        <f t="shared" si="0"/>
        <v>1976750.2800000003</v>
      </c>
      <c r="F27" s="2">
        <v>46006</v>
      </c>
      <c r="G27" s="4">
        <f>'PRODUÇAO (DEZ)'!V38</f>
        <v>0</v>
      </c>
      <c r="H27" s="8">
        <f t="shared" si="4"/>
        <v>988375.14</v>
      </c>
      <c r="I27" s="6">
        <f t="shared" si="1"/>
        <v>0.32945838</v>
      </c>
      <c r="J27" s="9">
        <f>H27/15*30</f>
        <v>1976750.2800000003</v>
      </c>
      <c r="K27" s="7">
        <f t="shared" si="2"/>
        <v>-1023249.7199999997</v>
      </c>
      <c r="L27" s="46">
        <f t="shared" si="5"/>
        <v>0.6589167600000001</v>
      </c>
      <c r="M27" s="15">
        <f t="shared" si="3"/>
        <v>0</v>
      </c>
    </row>
    <row r="28" spans="3:13" x14ac:dyDescent="0.25">
      <c r="C28" s="2">
        <v>46007</v>
      </c>
      <c r="D28" s="3">
        <f>AVERAGE(G13:G28)</f>
        <v>61773.446250000001</v>
      </c>
      <c r="E28" s="3">
        <f t="shared" si="0"/>
        <v>1853203.3875</v>
      </c>
      <c r="F28" s="2">
        <v>46007</v>
      </c>
      <c r="G28" s="4">
        <f>'PRODUÇAO (DEZ)'!W38</f>
        <v>0</v>
      </c>
      <c r="H28" s="8">
        <f t="shared" si="4"/>
        <v>988375.14</v>
      </c>
      <c r="I28" s="6">
        <f t="shared" si="1"/>
        <v>0.32945838</v>
      </c>
      <c r="J28" s="9">
        <f>H28/16*30</f>
        <v>1853203.3875</v>
      </c>
      <c r="K28" s="7">
        <f t="shared" si="2"/>
        <v>-1146796.6125</v>
      </c>
      <c r="L28" s="46">
        <f t="shared" si="5"/>
        <v>0.61773446249999997</v>
      </c>
      <c r="M28" s="15">
        <f t="shared" si="3"/>
        <v>0</v>
      </c>
    </row>
    <row r="29" spans="3:13" x14ac:dyDescent="0.25">
      <c r="C29" s="2">
        <v>46008</v>
      </c>
      <c r="D29" s="3">
        <f>AVERAGE(G13:G29)</f>
        <v>58139.714117647061</v>
      </c>
      <c r="E29" s="3">
        <f t="shared" si="0"/>
        <v>1744191.4235294119</v>
      </c>
      <c r="F29" s="2">
        <v>46008</v>
      </c>
      <c r="G29" s="4">
        <f>'PRODUÇAO (DEZ)'!X38</f>
        <v>0</v>
      </c>
      <c r="H29" s="8">
        <f t="shared" si="4"/>
        <v>988375.14</v>
      </c>
      <c r="I29" s="6">
        <f t="shared" si="1"/>
        <v>0.32945838</v>
      </c>
      <c r="J29" s="9">
        <f>H29/17*30</f>
        <v>1744191.4235294119</v>
      </c>
      <c r="K29" s="7">
        <f t="shared" si="2"/>
        <v>-1255808.5764705881</v>
      </c>
      <c r="L29" s="46">
        <f t="shared" si="5"/>
        <v>0.58139714117647068</v>
      </c>
      <c r="M29" s="15">
        <f t="shared" si="3"/>
        <v>0</v>
      </c>
    </row>
    <row r="30" spans="3:13" x14ac:dyDescent="0.25">
      <c r="C30" s="2">
        <v>46009</v>
      </c>
      <c r="D30" s="3">
        <f>AVERAGE(G13:G30)</f>
        <v>54909.73</v>
      </c>
      <c r="E30" s="3">
        <f t="shared" si="0"/>
        <v>1647291.9000000001</v>
      </c>
      <c r="F30" s="2">
        <v>46009</v>
      </c>
      <c r="G30" s="4">
        <f>'PRODUÇAO (DEZ)'!Y38</f>
        <v>0</v>
      </c>
      <c r="H30" s="8">
        <f t="shared" si="4"/>
        <v>988375.14</v>
      </c>
      <c r="I30" s="6">
        <f t="shared" si="1"/>
        <v>0.32945838</v>
      </c>
      <c r="J30" s="9">
        <f>H30/18*30</f>
        <v>1647291.9000000001</v>
      </c>
      <c r="K30" s="7">
        <f t="shared" si="2"/>
        <v>-1352708.0999999999</v>
      </c>
      <c r="L30" s="46">
        <f t="shared" si="5"/>
        <v>0.54909730000000001</v>
      </c>
      <c r="M30" s="15">
        <f t="shared" si="3"/>
        <v>0</v>
      </c>
    </row>
    <row r="31" spans="3:13" x14ac:dyDescent="0.25">
      <c r="C31" s="2">
        <v>46010</v>
      </c>
      <c r="D31" s="3">
        <f>AVERAGE(G13:G31)</f>
        <v>52019.744210526318</v>
      </c>
      <c r="E31" s="3">
        <f t="shared" si="0"/>
        <v>1560592.3263157895</v>
      </c>
      <c r="F31" s="2">
        <v>46010</v>
      </c>
      <c r="G31" s="4">
        <f>'PRODUÇAO (DEZ)'!Z38</f>
        <v>0</v>
      </c>
      <c r="H31" s="8">
        <f t="shared" si="4"/>
        <v>988375.14</v>
      </c>
      <c r="I31" s="6">
        <f t="shared" si="1"/>
        <v>0.32945838</v>
      </c>
      <c r="J31" s="9">
        <f>H31/19*30</f>
        <v>1560592.3263157895</v>
      </c>
      <c r="K31" s="7">
        <f t="shared" si="2"/>
        <v>-1439407.6736842105</v>
      </c>
      <c r="L31" s="46">
        <f t="shared" si="5"/>
        <v>0.5201974421052632</v>
      </c>
      <c r="M31" s="15">
        <f t="shared" si="3"/>
        <v>0</v>
      </c>
    </row>
    <row r="32" spans="3:13" x14ac:dyDescent="0.25">
      <c r="C32" s="2">
        <v>46011</v>
      </c>
      <c r="D32" s="3">
        <f>AVERAGE(G13:G32)</f>
        <v>49418.756999999998</v>
      </c>
      <c r="E32" s="3">
        <f t="shared" si="0"/>
        <v>1482562.71</v>
      </c>
      <c r="F32" s="2">
        <v>46011</v>
      </c>
      <c r="G32" s="4">
        <f>'PRODUÇAO (DEZ)'!AA38</f>
        <v>0</v>
      </c>
      <c r="H32" s="8">
        <f t="shared" si="4"/>
        <v>988375.14</v>
      </c>
      <c r="I32" s="6">
        <f t="shared" si="1"/>
        <v>0.32945838</v>
      </c>
      <c r="J32" s="9">
        <f>H32/20*30</f>
        <v>1482562.71</v>
      </c>
      <c r="K32" s="7">
        <f t="shared" si="2"/>
        <v>-1517437.29</v>
      </c>
      <c r="L32" s="46">
        <f t="shared" si="5"/>
        <v>0.49418756999999996</v>
      </c>
      <c r="M32" s="15">
        <f t="shared" si="3"/>
        <v>0</v>
      </c>
    </row>
    <row r="33" spans="3:13" x14ac:dyDescent="0.25">
      <c r="C33" s="2">
        <v>46012</v>
      </c>
      <c r="D33" s="3">
        <f>AVERAGE(G13:G33)</f>
        <v>47065.482857142859</v>
      </c>
      <c r="E33" s="3">
        <f t="shared" si="0"/>
        <v>1411964.4857142859</v>
      </c>
      <c r="F33" s="2">
        <v>46012</v>
      </c>
      <c r="G33" s="4">
        <f>'PRODUÇAO (DEZ)'!AB38</f>
        <v>0</v>
      </c>
      <c r="H33" s="8">
        <f t="shared" si="4"/>
        <v>988375.14</v>
      </c>
      <c r="I33" s="6">
        <f t="shared" si="1"/>
        <v>0.32945838</v>
      </c>
      <c r="J33" s="9">
        <f>H33/21*30</f>
        <v>1411964.4857142859</v>
      </c>
      <c r="K33" s="7">
        <f t="shared" si="2"/>
        <v>-1588035.5142857141</v>
      </c>
      <c r="L33" s="46">
        <f t="shared" si="5"/>
        <v>0.4706548285714286</v>
      </c>
      <c r="M33" s="15">
        <f t="shared" si="3"/>
        <v>0</v>
      </c>
    </row>
    <row r="34" spans="3:13" x14ac:dyDescent="0.25">
      <c r="C34" s="2">
        <v>46013</v>
      </c>
      <c r="D34" s="3">
        <f>AVERAGE(G13:G34)</f>
        <v>44926.142727272731</v>
      </c>
      <c r="E34" s="3">
        <f t="shared" si="0"/>
        <v>1347784.281818182</v>
      </c>
      <c r="F34" s="2">
        <v>46013</v>
      </c>
      <c r="G34" s="4">
        <f>'PRODUÇAO (DEZ)'!AC38</f>
        <v>0</v>
      </c>
      <c r="H34" s="8">
        <f t="shared" si="4"/>
        <v>988375.14</v>
      </c>
      <c r="I34" s="6">
        <f t="shared" si="1"/>
        <v>0.32945838</v>
      </c>
      <c r="J34" s="9">
        <f>H34/22*30</f>
        <v>1347784.281818182</v>
      </c>
      <c r="K34" s="7">
        <f t="shared" si="2"/>
        <v>-1652215.718181818</v>
      </c>
      <c r="L34" s="46">
        <f t="shared" si="5"/>
        <v>0.44926142727272733</v>
      </c>
      <c r="M34" s="15">
        <f t="shared" si="3"/>
        <v>0</v>
      </c>
    </row>
    <row r="35" spans="3:13" x14ac:dyDescent="0.25">
      <c r="C35" s="2">
        <v>46014</v>
      </c>
      <c r="D35" s="3">
        <f>AVERAGE(G13:G35)</f>
        <v>42972.832173913041</v>
      </c>
      <c r="E35" s="3">
        <f t="shared" si="0"/>
        <v>1289184.9652173913</v>
      </c>
      <c r="F35" s="2">
        <v>46014</v>
      </c>
      <c r="G35" s="4">
        <f>'PRODUÇAO (DEZ)'!AD38</f>
        <v>0</v>
      </c>
      <c r="H35" s="8">
        <f t="shared" si="4"/>
        <v>988375.14</v>
      </c>
      <c r="I35" s="6">
        <f t="shared" si="1"/>
        <v>0.32945838</v>
      </c>
      <c r="J35" s="9">
        <f>H35/23*30</f>
        <v>1289184.9652173913</v>
      </c>
      <c r="K35" s="7">
        <f t="shared" si="2"/>
        <v>-1710815.0347826087</v>
      </c>
      <c r="L35" s="46">
        <f t="shared" si="5"/>
        <v>0.42972832173913045</v>
      </c>
      <c r="M35" s="15">
        <f t="shared" si="3"/>
        <v>0</v>
      </c>
    </row>
    <row r="36" spans="3:13" x14ac:dyDescent="0.25">
      <c r="C36" s="2">
        <v>46015</v>
      </c>
      <c r="D36" s="3">
        <f>AVERAGE(G13:G36)</f>
        <v>41182.297500000001</v>
      </c>
      <c r="E36" s="3">
        <f t="shared" si="0"/>
        <v>1235468.925</v>
      </c>
      <c r="F36" s="2">
        <v>46015</v>
      </c>
      <c r="G36" s="4">
        <f>'PRODUÇAO (DEZ)'!AE38</f>
        <v>0</v>
      </c>
      <c r="H36" s="8">
        <f t="shared" si="4"/>
        <v>988375.14</v>
      </c>
      <c r="I36" s="6">
        <f t="shared" si="1"/>
        <v>0.32945838</v>
      </c>
      <c r="J36" s="9">
        <f>H36/24*30</f>
        <v>1235468.925</v>
      </c>
      <c r="K36" s="7">
        <f t="shared" si="2"/>
        <v>-1764531.075</v>
      </c>
      <c r="L36" s="46">
        <f t="shared" si="5"/>
        <v>0.41182297500000004</v>
      </c>
      <c r="M36" s="15">
        <f t="shared" si="3"/>
        <v>0</v>
      </c>
    </row>
    <row r="37" spans="3:13" x14ac:dyDescent="0.25">
      <c r="C37" s="2">
        <v>46016</v>
      </c>
      <c r="D37" s="3">
        <f>AVERAGE(G13:G37)</f>
        <v>39535.005600000004</v>
      </c>
      <c r="E37" s="3">
        <f t="shared" si="0"/>
        <v>1186050.1680000001</v>
      </c>
      <c r="F37" s="2">
        <v>46016</v>
      </c>
      <c r="G37" s="4">
        <f>'PRODUÇAO (DEZ)'!AF38</f>
        <v>0</v>
      </c>
      <c r="H37" s="8">
        <f t="shared" si="4"/>
        <v>988375.14</v>
      </c>
      <c r="I37" s="6">
        <f t="shared" si="1"/>
        <v>0.32945838</v>
      </c>
      <c r="J37" s="9">
        <f>H37/25*30</f>
        <v>1186050.1680000001</v>
      </c>
      <c r="K37" s="7">
        <f t="shared" si="2"/>
        <v>-1813949.8319999999</v>
      </c>
      <c r="L37" s="46">
        <f t="shared" si="5"/>
        <v>0.39535005600000001</v>
      </c>
      <c r="M37" s="15">
        <f t="shared" si="3"/>
        <v>0</v>
      </c>
    </row>
    <row r="38" spans="3:13" x14ac:dyDescent="0.25">
      <c r="C38" s="2">
        <v>46017</v>
      </c>
      <c r="D38" s="3">
        <f>AVERAGE(G13:G38)</f>
        <v>38014.42846153846</v>
      </c>
      <c r="E38" s="3">
        <f t="shared" si="0"/>
        <v>1140432.8538461537</v>
      </c>
      <c r="F38" s="2">
        <v>46017</v>
      </c>
      <c r="G38" s="4">
        <f>'PRODUÇAO (DEZ)'!AG38</f>
        <v>0</v>
      </c>
      <c r="H38" s="8">
        <f t="shared" si="4"/>
        <v>988375.14</v>
      </c>
      <c r="I38" s="6">
        <f t="shared" si="1"/>
        <v>0.32945838</v>
      </c>
      <c r="J38" s="9">
        <f>H38/26*30</f>
        <v>1140432.8538461537</v>
      </c>
      <c r="K38" s="7">
        <f t="shared" si="2"/>
        <v>-1859567.1461538463</v>
      </c>
      <c r="L38" s="46">
        <f t="shared" si="5"/>
        <v>0.38014428461538458</v>
      </c>
      <c r="M38" s="15">
        <f t="shared" si="3"/>
        <v>0</v>
      </c>
    </row>
    <row r="39" spans="3:13" x14ac:dyDescent="0.25">
      <c r="C39" s="2">
        <v>46018</v>
      </c>
      <c r="D39" s="3">
        <f>AVERAGE(G13:G39)</f>
        <v>36606.486666666664</v>
      </c>
      <c r="E39" s="3">
        <f t="shared" si="0"/>
        <v>1098194.5999999999</v>
      </c>
      <c r="F39" s="2">
        <v>46018</v>
      </c>
      <c r="G39" s="4">
        <f>'PRODUÇAO (DEZ)'!AH38</f>
        <v>0</v>
      </c>
      <c r="H39" s="8">
        <f t="shared" si="4"/>
        <v>988375.14</v>
      </c>
      <c r="I39" s="6">
        <f t="shared" si="1"/>
        <v>0.32945838</v>
      </c>
      <c r="J39" s="9">
        <f>H39/27*30</f>
        <v>1098194.5999999999</v>
      </c>
      <c r="K39" s="7">
        <f t="shared" si="2"/>
        <v>-1901805.4000000001</v>
      </c>
      <c r="L39" s="46">
        <f t="shared" si="5"/>
        <v>0.3660648666666666</v>
      </c>
      <c r="M39" s="15">
        <f t="shared" si="3"/>
        <v>0</v>
      </c>
    </row>
    <row r="40" spans="3:13" x14ac:dyDescent="0.25">
      <c r="C40" s="2">
        <v>46019</v>
      </c>
      <c r="D40" s="3">
        <f>AVERAGE(G13:G40)</f>
        <v>35299.112142857142</v>
      </c>
      <c r="E40" s="3">
        <f t="shared" si="0"/>
        <v>1058973.3642857142</v>
      </c>
      <c r="F40" s="2">
        <v>46019</v>
      </c>
      <c r="G40" s="4">
        <f>'PRODUÇAO (DEZ)'!AI38</f>
        <v>0</v>
      </c>
      <c r="H40" s="8">
        <f t="shared" si="4"/>
        <v>988375.14</v>
      </c>
      <c r="I40" s="6">
        <f t="shared" si="1"/>
        <v>0.32945838</v>
      </c>
      <c r="J40" s="9">
        <f>H40/28*30</f>
        <v>1058973.3642857142</v>
      </c>
      <c r="K40" s="7">
        <f t="shared" si="2"/>
        <v>-1941026.6357142858</v>
      </c>
      <c r="L40" s="46">
        <f t="shared" si="5"/>
        <v>0.35299112142857142</v>
      </c>
      <c r="M40" s="15">
        <f t="shared" si="3"/>
        <v>0</v>
      </c>
    </row>
    <row r="41" spans="3:13" x14ac:dyDescent="0.25">
      <c r="C41" s="2">
        <v>46020</v>
      </c>
      <c r="D41" s="3">
        <f>AVERAGE(G13:G41)</f>
        <v>34081.901379310344</v>
      </c>
      <c r="E41" s="3">
        <f t="shared" si="0"/>
        <v>1022457.0413793103</v>
      </c>
      <c r="F41" s="2">
        <v>46020</v>
      </c>
      <c r="G41" s="4">
        <f>'PRODUÇAO (DEZ)'!AJ38</f>
        <v>0</v>
      </c>
      <c r="H41" s="8">
        <f t="shared" si="4"/>
        <v>988375.14</v>
      </c>
      <c r="I41" s="6">
        <f t="shared" si="1"/>
        <v>0.32945838</v>
      </c>
      <c r="J41" s="9">
        <f>H41/29*30</f>
        <v>1022457.0413793103</v>
      </c>
      <c r="K41" s="7">
        <f t="shared" si="2"/>
        <v>-1977542.9586206898</v>
      </c>
      <c r="L41" s="46">
        <f t="shared" si="5"/>
        <v>0.34081901379310342</v>
      </c>
      <c r="M41" s="15">
        <f t="shared" si="3"/>
        <v>0</v>
      </c>
    </row>
    <row r="42" spans="3:13" x14ac:dyDescent="0.25">
      <c r="C42" s="2">
        <v>46021</v>
      </c>
      <c r="D42" s="3">
        <f>AVERAGE(G13:G42)</f>
        <v>32945.838000000003</v>
      </c>
      <c r="E42" s="3">
        <f t="shared" si="0"/>
        <v>988375.14000000013</v>
      </c>
      <c r="F42" s="2">
        <v>46021</v>
      </c>
      <c r="G42" s="4">
        <f>'PRODUÇAO (DEZ)'!AK38</f>
        <v>0</v>
      </c>
      <c r="H42" s="8">
        <f t="shared" si="4"/>
        <v>988375.14</v>
      </c>
      <c r="I42" s="6">
        <f t="shared" si="1"/>
        <v>0.32945838</v>
      </c>
      <c r="J42" s="9">
        <f>H42/31*31</f>
        <v>988375.14</v>
      </c>
      <c r="K42" s="7">
        <f t="shared" si="2"/>
        <v>-2011624.8599999999</v>
      </c>
      <c r="L42" s="46">
        <f t="shared" si="5"/>
        <v>0.32945838</v>
      </c>
      <c r="M42" s="15">
        <f t="shared" si="3"/>
        <v>0</v>
      </c>
    </row>
    <row r="43" spans="3:13" x14ac:dyDescent="0.25">
      <c r="C43" s="2">
        <v>46022</v>
      </c>
      <c r="D43" s="3">
        <f>AVERAGE(D13:D42)</f>
        <v>60590.986434398568</v>
      </c>
      <c r="E43" s="3">
        <f>D43*31</f>
        <v>1878320.5794663555</v>
      </c>
      <c r="F43" s="2">
        <v>46022</v>
      </c>
      <c r="G43" s="4">
        <f>'PRODUÇAO (DEZ)'!AL38</f>
        <v>0</v>
      </c>
      <c r="H43" s="65">
        <f t="shared" si="4"/>
        <v>988375.14</v>
      </c>
      <c r="I43" s="66">
        <f t="shared" si="1"/>
        <v>0.32945838</v>
      </c>
      <c r="J43" s="64">
        <f>H43/30*30</f>
        <v>988375.14000000013</v>
      </c>
      <c r="K43" s="7">
        <f t="shared" si="2"/>
        <v>-2011624.8599999999</v>
      </c>
      <c r="L43" s="67">
        <f t="shared" si="5"/>
        <v>0.32945838000000005</v>
      </c>
      <c r="M43" s="15">
        <f t="shared" si="3"/>
        <v>0</v>
      </c>
    </row>
  </sheetData>
  <mergeCells count="1">
    <mergeCell ref="C4:K4"/>
  </mergeCells>
  <conditionalFormatting sqref="K1:K3 K6:K11 K44:K1048576">
    <cfRule type="cellIs" dxfId="7" priority="4" stopIfTrue="1" operator="greaterThan">
      <formula>100675.95</formula>
    </cfRule>
  </conditionalFormatting>
  <conditionalFormatting sqref="K13:K43">
    <cfRule type="cellIs" dxfId="6" priority="1" operator="lessThan">
      <formula>0</formula>
    </cfRule>
    <cfRule type="cellIs" dxfId="5" priority="2" operator="greaterThan">
      <formula>0</formula>
    </cfRule>
    <cfRule type="cellIs" dxfId="4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EAAD-AD2E-411D-BCBF-A4DE390E6192}">
  <dimension ref="A4:AT39"/>
  <sheetViews>
    <sheetView topLeftCell="A16" workbookViewId="0">
      <pane xSplit="1" topLeftCell="B1" activePane="topRight" state="frozen"/>
      <selection pane="topRight" activeCell="R6" sqref="R6"/>
    </sheetView>
  </sheetViews>
  <sheetFormatPr defaultRowHeight="15" x14ac:dyDescent="0.25"/>
  <cols>
    <col min="1" max="1" width="47.5703125" style="33" bestFit="1" customWidth="1"/>
    <col min="2" max="2" width="21.140625" style="33" bestFit="1" customWidth="1"/>
    <col min="3" max="3" width="15" style="33" bestFit="1" customWidth="1"/>
    <col min="4" max="4" width="0.5703125" style="33" hidden="1" customWidth="1"/>
    <col min="5" max="5" width="0.140625" style="33" hidden="1" customWidth="1"/>
    <col min="6" max="6" width="22.140625" style="34" hidden="1" customWidth="1"/>
    <col min="7" max="7" width="26.85546875" style="34" hidden="1" customWidth="1"/>
    <col min="8" max="8" width="14.5703125" bestFit="1" customWidth="1"/>
    <col min="9" max="10" width="15.28515625" bestFit="1" customWidth="1"/>
    <col min="11" max="13" width="15.7109375" bestFit="1" customWidth="1"/>
    <col min="14" max="14" width="15.28515625" bestFit="1" customWidth="1"/>
    <col min="15" max="15" width="15.7109375" bestFit="1" customWidth="1"/>
    <col min="16" max="16" width="14.5703125" bestFit="1" customWidth="1"/>
    <col min="17" max="22" width="15.7109375" bestFit="1" customWidth="1"/>
    <col min="23" max="23" width="14.5703125" bestFit="1" customWidth="1"/>
    <col min="24" max="31" width="15.7109375" bestFit="1" customWidth="1"/>
    <col min="32" max="32" width="14.5703125" bestFit="1" customWidth="1"/>
    <col min="33" max="33" width="15.7109375" bestFit="1" customWidth="1"/>
    <col min="34" max="34" width="14.5703125" bestFit="1" customWidth="1"/>
    <col min="35" max="37" width="15.7109375" bestFit="1" customWidth="1"/>
    <col min="38" max="38" width="15.7109375" customWidth="1"/>
    <col min="39" max="39" width="17.5703125" bestFit="1" customWidth="1"/>
    <col min="40" max="41" width="15.7109375" bestFit="1" customWidth="1"/>
  </cols>
  <sheetData>
    <row r="4" spans="1:46" ht="21" x14ac:dyDescent="0.35">
      <c r="A4" s="25" t="s">
        <v>18</v>
      </c>
      <c r="B4" s="25" t="s">
        <v>19</v>
      </c>
      <c r="C4" s="25" t="s">
        <v>20</v>
      </c>
      <c r="D4" s="25" t="s">
        <v>21</v>
      </c>
      <c r="E4" s="25" t="s">
        <v>22</v>
      </c>
      <c r="F4" s="25" t="s">
        <v>23</v>
      </c>
      <c r="G4" s="25" t="s">
        <v>24</v>
      </c>
      <c r="H4" s="36">
        <v>45992</v>
      </c>
      <c r="I4" s="36">
        <v>45993</v>
      </c>
      <c r="J4" s="36">
        <v>45994</v>
      </c>
      <c r="K4" s="36">
        <v>45995</v>
      </c>
      <c r="L4" s="36">
        <v>45996</v>
      </c>
      <c r="M4" s="36">
        <v>45997</v>
      </c>
      <c r="N4" s="36">
        <v>45998</v>
      </c>
      <c r="O4" s="36">
        <v>45999</v>
      </c>
      <c r="P4" s="36">
        <v>46000</v>
      </c>
      <c r="Q4" s="36">
        <v>46001</v>
      </c>
      <c r="R4" s="36">
        <v>46002</v>
      </c>
      <c r="S4" s="36">
        <v>46003</v>
      </c>
      <c r="T4" s="36">
        <v>46004</v>
      </c>
      <c r="U4" s="36">
        <v>46005</v>
      </c>
      <c r="V4" s="36">
        <v>46006</v>
      </c>
      <c r="W4" s="36">
        <v>46007</v>
      </c>
      <c r="X4" s="36">
        <v>46008</v>
      </c>
      <c r="Y4" s="36">
        <v>46009</v>
      </c>
      <c r="Z4" s="36">
        <v>46010</v>
      </c>
      <c r="AA4" s="36">
        <v>46011</v>
      </c>
      <c r="AB4" s="36">
        <v>46012</v>
      </c>
      <c r="AC4" s="36">
        <v>46013</v>
      </c>
      <c r="AD4" s="36">
        <v>46014</v>
      </c>
      <c r="AE4" s="36">
        <v>46015</v>
      </c>
      <c r="AF4" s="36">
        <v>46016</v>
      </c>
      <c r="AG4" s="36">
        <v>46017</v>
      </c>
      <c r="AH4" s="36">
        <v>46018</v>
      </c>
      <c r="AI4" s="36">
        <v>46019</v>
      </c>
      <c r="AJ4" s="36">
        <v>46020</v>
      </c>
      <c r="AK4" s="36">
        <v>46021</v>
      </c>
      <c r="AL4" s="36">
        <v>46022</v>
      </c>
      <c r="AM4" s="39" t="s">
        <v>13</v>
      </c>
      <c r="AN4" s="39" t="s">
        <v>209</v>
      </c>
      <c r="AO4" s="39" t="s">
        <v>210</v>
      </c>
      <c r="AP4" s="24" t="s">
        <v>9</v>
      </c>
      <c r="AQ4" s="24" t="s">
        <v>9</v>
      </c>
      <c r="AR4" s="24" t="s">
        <v>9</v>
      </c>
      <c r="AS4" s="24" t="s">
        <v>9</v>
      </c>
      <c r="AT4" s="24" t="s">
        <v>9</v>
      </c>
    </row>
    <row r="5" spans="1:46" ht="21" x14ac:dyDescent="0.35">
      <c r="A5" s="26" t="s">
        <v>32</v>
      </c>
      <c r="B5" s="27" t="s">
        <v>33</v>
      </c>
      <c r="C5" s="31" t="s">
        <v>135</v>
      </c>
      <c r="D5" s="27" t="s">
        <v>28</v>
      </c>
      <c r="E5" s="27" t="s">
        <v>29</v>
      </c>
      <c r="F5" s="27" t="s">
        <v>30</v>
      </c>
      <c r="G5" s="69" t="s">
        <v>31</v>
      </c>
      <c r="H5" s="72"/>
      <c r="I5" s="72"/>
      <c r="J5" s="72"/>
      <c r="K5" s="72"/>
      <c r="L5" s="72"/>
      <c r="M5" s="72">
        <v>6138.75</v>
      </c>
      <c r="N5" s="72"/>
      <c r="O5" s="72"/>
      <c r="P5" s="72"/>
      <c r="Q5" s="72"/>
      <c r="R5" s="68">
        <v>44650.8</v>
      </c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40">
        <f>SUM(H5:AL5)</f>
        <v>50789.55</v>
      </c>
      <c r="AN5" s="40">
        <f>AVERAGE(H5:AK5)</f>
        <v>25394.775000000001</v>
      </c>
      <c r="AO5" s="40">
        <f>AM5*8.5%</f>
        <v>4317.1117500000009</v>
      </c>
    </row>
    <row r="6" spans="1:46" ht="21" x14ac:dyDescent="0.35">
      <c r="A6" s="26" t="s">
        <v>38</v>
      </c>
      <c r="B6" s="27" t="s">
        <v>39</v>
      </c>
      <c r="C6" s="28" t="s">
        <v>34</v>
      </c>
      <c r="D6" s="27" t="s">
        <v>35</v>
      </c>
      <c r="E6" s="27" t="s">
        <v>36</v>
      </c>
      <c r="F6" s="27" t="s">
        <v>37</v>
      </c>
      <c r="G6" s="69" t="s">
        <v>31</v>
      </c>
      <c r="H6" s="72"/>
      <c r="I6" s="72"/>
      <c r="J6" s="72"/>
      <c r="K6" s="72"/>
      <c r="L6" s="72"/>
      <c r="M6" s="72"/>
      <c r="N6" s="72"/>
      <c r="O6" s="72"/>
      <c r="P6" s="72"/>
      <c r="Q6" s="72"/>
      <c r="R6" s="68">
        <v>30306</v>
      </c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40">
        <f t="shared" ref="AM6:AM38" si="0">SUM(H6:AL6)</f>
        <v>30306</v>
      </c>
      <c r="AN6" s="40">
        <f t="shared" ref="AN6:AN37" si="1">AVERAGE(H6:AK6)</f>
        <v>30306</v>
      </c>
      <c r="AO6" s="40">
        <f t="shared" ref="AO6:AO37" si="2">AM6*8.5%</f>
        <v>2576.0100000000002</v>
      </c>
    </row>
    <row r="7" spans="1:46" ht="21" x14ac:dyDescent="0.35">
      <c r="A7" s="26" t="s">
        <v>248</v>
      </c>
      <c r="B7" s="27" t="s">
        <v>249</v>
      </c>
      <c r="C7" s="28" t="s">
        <v>176</v>
      </c>
      <c r="D7" s="29" t="s">
        <v>41</v>
      </c>
      <c r="E7" s="29" t="s">
        <v>42</v>
      </c>
      <c r="F7" s="29" t="s">
        <v>43</v>
      </c>
      <c r="G7" s="70" t="s">
        <v>31</v>
      </c>
      <c r="H7" s="72"/>
      <c r="I7" s="72"/>
      <c r="J7" s="72"/>
      <c r="K7" s="72">
        <v>6875</v>
      </c>
      <c r="L7" s="72"/>
      <c r="M7" s="72">
        <v>6666.67</v>
      </c>
      <c r="N7" s="72"/>
      <c r="O7" s="72"/>
      <c r="P7" s="72"/>
      <c r="Q7" s="72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40">
        <f t="shared" si="0"/>
        <v>13541.67</v>
      </c>
      <c r="AN7" s="40">
        <f t="shared" si="1"/>
        <v>6770.835</v>
      </c>
      <c r="AO7" s="40">
        <f t="shared" si="2"/>
        <v>1151.04195</v>
      </c>
    </row>
    <row r="8" spans="1:46" ht="21" x14ac:dyDescent="0.35">
      <c r="A8" s="26" t="s">
        <v>162</v>
      </c>
      <c r="B8" s="27" t="s">
        <v>163</v>
      </c>
      <c r="C8" s="28" t="s">
        <v>164</v>
      </c>
      <c r="D8" s="27" t="s">
        <v>47</v>
      </c>
      <c r="E8" s="27" t="s">
        <v>48</v>
      </c>
      <c r="F8" s="27" t="s">
        <v>49</v>
      </c>
      <c r="G8" s="69" t="s">
        <v>31</v>
      </c>
      <c r="H8" s="72"/>
      <c r="I8" s="72"/>
      <c r="J8" s="72"/>
      <c r="K8" s="72">
        <v>5136.55</v>
      </c>
      <c r="L8" s="72"/>
      <c r="M8" s="72"/>
      <c r="N8" s="72"/>
      <c r="O8" s="72">
        <v>33000</v>
      </c>
      <c r="P8" s="72"/>
      <c r="Q8" s="72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40">
        <f t="shared" si="0"/>
        <v>38136.550000000003</v>
      </c>
      <c r="AN8" s="40">
        <f t="shared" si="1"/>
        <v>19068.275000000001</v>
      </c>
      <c r="AO8" s="40">
        <f t="shared" si="2"/>
        <v>3241.6067500000004</v>
      </c>
    </row>
    <row r="9" spans="1:46" ht="21" x14ac:dyDescent="0.35">
      <c r="A9" s="26" t="s">
        <v>139</v>
      </c>
      <c r="B9" s="27" t="s">
        <v>140</v>
      </c>
      <c r="C9" s="28" t="s">
        <v>141</v>
      </c>
      <c r="D9" s="27" t="s">
        <v>53</v>
      </c>
      <c r="E9" s="27" t="s">
        <v>54</v>
      </c>
      <c r="F9" s="29" t="s">
        <v>55</v>
      </c>
      <c r="G9" s="70" t="s">
        <v>31</v>
      </c>
      <c r="H9" s="72"/>
      <c r="I9" s="72"/>
      <c r="J9" s="72"/>
      <c r="K9" s="72"/>
      <c r="L9" s="72"/>
      <c r="M9" s="72"/>
      <c r="N9" s="72"/>
      <c r="O9" s="72"/>
      <c r="P9" s="72"/>
      <c r="Q9" s="72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40">
        <f t="shared" si="0"/>
        <v>0</v>
      </c>
      <c r="AN9" s="40" t="e">
        <f t="shared" si="1"/>
        <v>#DIV/0!</v>
      </c>
      <c r="AO9" s="40">
        <f t="shared" si="2"/>
        <v>0</v>
      </c>
    </row>
    <row r="10" spans="1:46" ht="21" x14ac:dyDescent="0.35">
      <c r="A10" s="27" t="s">
        <v>62</v>
      </c>
      <c r="B10" s="27" t="s">
        <v>63</v>
      </c>
      <c r="C10" s="28" t="s">
        <v>70</v>
      </c>
      <c r="D10" s="29" t="s">
        <v>59</v>
      </c>
      <c r="E10" s="29" t="s">
        <v>60</v>
      </c>
      <c r="F10" s="29" t="s">
        <v>61</v>
      </c>
      <c r="G10" s="70" t="s">
        <v>31</v>
      </c>
      <c r="H10" s="72"/>
      <c r="I10" s="72"/>
      <c r="J10" s="72"/>
      <c r="K10" s="72"/>
      <c r="L10" s="72"/>
      <c r="M10" s="72"/>
      <c r="N10" s="72"/>
      <c r="O10" s="72"/>
      <c r="P10" s="72"/>
      <c r="Q10" s="72">
        <v>44064</v>
      </c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40">
        <f t="shared" si="0"/>
        <v>44064</v>
      </c>
      <c r="AN10" s="40">
        <f t="shared" si="1"/>
        <v>44064</v>
      </c>
      <c r="AO10" s="40">
        <f t="shared" si="2"/>
        <v>3745.44</v>
      </c>
    </row>
    <row r="11" spans="1:46" ht="21" x14ac:dyDescent="0.35">
      <c r="A11" s="26" t="s">
        <v>86</v>
      </c>
      <c r="B11" s="27" t="s">
        <v>87</v>
      </c>
      <c r="C11" s="28" t="s">
        <v>217</v>
      </c>
      <c r="D11" s="27" t="s">
        <v>65</v>
      </c>
      <c r="E11" s="27" t="s">
        <v>66</v>
      </c>
      <c r="F11" s="27" t="s">
        <v>67</v>
      </c>
      <c r="G11" s="69" t="s">
        <v>31</v>
      </c>
      <c r="H11" s="72"/>
      <c r="I11" s="72"/>
      <c r="J11" s="72"/>
      <c r="K11" s="72"/>
      <c r="L11" s="72">
        <v>44478.720000000001</v>
      </c>
      <c r="M11" s="72"/>
      <c r="N11" s="72"/>
      <c r="O11" s="72"/>
      <c r="P11" s="72"/>
      <c r="Q11" s="72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40">
        <f t="shared" si="0"/>
        <v>44478.720000000001</v>
      </c>
      <c r="AN11" s="40">
        <f t="shared" si="1"/>
        <v>44478.720000000001</v>
      </c>
      <c r="AO11" s="40">
        <f t="shared" si="2"/>
        <v>3780.6912000000002</v>
      </c>
    </row>
    <row r="12" spans="1:46" ht="21" x14ac:dyDescent="0.35">
      <c r="A12" s="26" t="s">
        <v>233</v>
      </c>
      <c r="B12" s="27" t="s">
        <v>234</v>
      </c>
      <c r="C12" s="28" t="s">
        <v>216</v>
      </c>
      <c r="D12" s="29" t="s">
        <v>71</v>
      </c>
      <c r="E12" s="29" t="s">
        <v>72</v>
      </c>
      <c r="F12" s="27" t="s">
        <v>73</v>
      </c>
      <c r="G12" s="69" t="s">
        <v>31</v>
      </c>
      <c r="H12" s="72"/>
      <c r="I12" s="72"/>
      <c r="J12" s="72"/>
      <c r="K12" s="72">
        <v>36036</v>
      </c>
      <c r="L12" s="72"/>
      <c r="M12" s="72"/>
      <c r="N12" s="72"/>
      <c r="O12" s="72"/>
      <c r="P12" s="72"/>
      <c r="Q12" s="72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40">
        <f t="shared" si="0"/>
        <v>36036</v>
      </c>
      <c r="AN12" s="40">
        <f t="shared" si="1"/>
        <v>36036</v>
      </c>
      <c r="AO12" s="40">
        <f t="shared" si="2"/>
        <v>3063.0600000000004</v>
      </c>
    </row>
    <row r="13" spans="1:46" ht="21" x14ac:dyDescent="0.35">
      <c r="A13" s="83" t="s">
        <v>25</v>
      </c>
      <c r="B13" s="27" t="s">
        <v>26</v>
      </c>
      <c r="C13" s="28" t="s">
        <v>27</v>
      </c>
      <c r="D13" s="29" t="s">
        <v>83</v>
      </c>
      <c r="E13" s="29" t="s">
        <v>84</v>
      </c>
      <c r="F13" s="29" t="s">
        <v>85</v>
      </c>
      <c r="G13" s="69" t="s">
        <v>31</v>
      </c>
      <c r="H13" s="72"/>
      <c r="I13" s="72"/>
      <c r="J13" s="72"/>
      <c r="K13" s="72"/>
      <c r="L13" s="72"/>
      <c r="M13" s="72">
        <v>25600</v>
      </c>
      <c r="N13" s="72"/>
      <c r="O13" s="72"/>
      <c r="P13" s="72"/>
      <c r="Q13" s="72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40">
        <f t="shared" si="0"/>
        <v>25600</v>
      </c>
      <c r="AN13" s="40">
        <f t="shared" si="1"/>
        <v>25600</v>
      </c>
      <c r="AO13" s="40">
        <f t="shared" si="2"/>
        <v>2176</v>
      </c>
    </row>
    <row r="14" spans="1:46" ht="21" x14ac:dyDescent="0.35">
      <c r="A14" s="26" t="s">
        <v>220</v>
      </c>
      <c r="B14" s="27" t="s">
        <v>221</v>
      </c>
      <c r="C14" s="28" t="s">
        <v>243</v>
      </c>
      <c r="D14" s="29" t="s">
        <v>89</v>
      </c>
      <c r="E14" s="27" t="s">
        <v>90</v>
      </c>
      <c r="F14" s="27" t="s">
        <v>91</v>
      </c>
      <c r="G14" s="69" t="s">
        <v>31</v>
      </c>
      <c r="H14" s="72">
        <v>6875</v>
      </c>
      <c r="I14" s="72"/>
      <c r="J14" s="72"/>
      <c r="K14" s="72">
        <v>6666.67</v>
      </c>
      <c r="L14" s="72"/>
      <c r="M14" s="72">
        <v>6875</v>
      </c>
      <c r="N14" s="72"/>
      <c r="O14" s="72"/>
      <c r="P14" s="72"/>
      <c r="Q14" s="72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40">
        <f t="shared" si="0"/>
        <v>20416.669999999998</v>
      </c>
      <c r="AN14" s="40">
        <f t="shared" si="1"/>
        <v>6805.5566666666664</v>
      </c>
      <c r="AO14" s="40">
        <f t="shared" si="2"/>
        <v>1735.41695</v>
      </c>
    </row>
    <row r="15" spans="1:46" ht="21" x14ac:dyDescent="0.35">
      <c r="A15" s="37" t="s">
        <v>56</v>
      </c>
      <c r="B15" s="27" t="s">
        <v>57</v>
      </c>
      <c r="C15" s="31" t="s">
        <v>58</v>
      </c>
      <c r="D15" s="29" t="s">
        <v>108</v>
      </c>
      <c r="E15" s="29" t="s">
        <v>109</v>
      </c>
      <c r="F15" s="29" t="s">
        <v>110</v>
      </c>
      <c r="G15" s="70" t="s">
        <v>104</v>
      </c>
      <c r="H15" s="72"/>
      <c r="I15" s="72"/>
      <c r="J15" s="72">
        <v>24600</v>
      </c>
      <c r="K15" s="72"/>
      <c r="L15" s="72"/>
      <c r="M15" s="72"/>
      <c r="N15" s="72"/>
      <c r="O15" s="72"/>
      <c r="P15" s="72"/>
      <c r="Q15" s="72">
        <v>35394</v>
      </c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40">
        <f t="shared" si="0"/>
        <v>59994</v>
      </c>
      <c r="AN15" s="40">
        <f t="shared" si="1"/>
        <v>29997</v>
      </c>
      <c r="AO15" s="40">
        <f t="shared" si="2"/>
        <v>5099.4900000000007</v>
      </c>
    </row>
    <row r="16" spans="1:46" ht="21" x14ac:dyDescent="0.35">
      <c r="A16" s="26" t="s">
        <v>74</v>
      </c>
      <c r="B16" s="27" t="s">
        <v>75</v>
      </c>
      <c r="C16" s="28" t="s">
        <v>219</v>
      </c>
      <c r="D16" s="27" t="s">
        <v>112</v>
      </c>
      <c r="E16" s="27" t="s">
        <v>113</v>
      </c>
      <c r="F16" s="27" t="s">
        <v>114</v>
      </c>
      <c r="G16" s="69" t="s">
        <v>104</v>
      </c>
      <c r="H16" s="72"/>
      <c r="I16" s="72"/>
      <c r="J16" s="72"/>
      <c r="K16" s="72"/>
      <c r="L16" s="72"/>
      <c r="M16" s="72"/>
      <c r="N16" s="72"/>
      <c r="O16" s="72">
        <v>24000</v>
      </c>
      <c r="P16" s="72"/>
      <c r="Q16" s="72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40">
        <f t="shared" si="0"/>
        <v>24000</v>
      </c>
      <c r="AN16" s="40">
        <f t="shared" si="1"/>
        <v>24000</v>
      </c>
      <c r="AO16" s="40">
        <f t="shared" si="2"/>
        <v>2040.0000000000002</v>
      </c>
    </row>
    <row r="17" spans="1:41" ht="21" x14ac:dyDescent="0.35">
      <c r="A17" s="26" t="s">
        <v>105</v>
      </c>
      <c r="B17" s="27" t="s">
        <v>106</v>
      </c>
      <c r="C17" s="28" t="s">
        <v>107</v>
      </c>
      <c r="D17" s="27" t="s">
        <v>124</v>
      </c>
      <c r="E17" s="27" t="s">
        <v>125</v>
      </c>
      <c r="F17" s="27" t="s">
        <v>126</v>
      </c>
      <c r="G17" s="69" t="s">
        <v>104</v>
      </c>
      <c r="H17" s="72"/>
      <c r="I17" s="72"/>
      <c r="J17" s="72"/>
      <c r="K17" s="72"/>
      <c r="L17" s="72"/>
      <c r="M17" s="72"/>
      <c r="N17" s="72"/>
      <c r="O17" s="72">
        <v>18180</v>
      </c>
      <c r="P17" s="72"/>
      <c r="Q17" s="72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40">
        <f t="shared" si="0"/>
        <v>18180</v>
      </c>
      <c r="AN17" s="40">
        <f t="shared" si="1"/>
        <v>18180</v>
      </c>
      <c r="AO17" s="40">
        <f t="shared" si="2"/>
        <v>1545.3000000000002</v>
      </c>
    </row>
    <row r="18" spans="1:41" ht="21" x14ac:dyDescent="0.35">
      <c r="A18" s="26" t="s">
        <v>115</v>
      </c>
      <c r="B18" s="27" t="s">
        <v>116</v>
      </c>
      <c r="C18" s="28" t="s">
        <v>117</v>
      </c>
      <c r="D18" s="27" t="s">
        <v>130</v>
      </c>
      <c r="E18" s="27" t="s">
        <v>131</v>
      </c>
      <c r="F18" s="27" t="s">
        <v>132</v>
      </c>
      <c r="G18" s="69" t="s">
        <v>104</v>
      </c>
      <c r="H18" s="72"/>
      <c r="I18" s="72"/>
      <c r="J18" s="72"/>
      <c r="K18" s="72">
        <v>22000</v>
      </c>
      <c r="L18" s="72"/>
      <c r="M18" s="72">
        <v>12000</v>
      </c>
      <c r="N18" s="72"/>
      <c r="O18" s="72"/>
      <c r="P18" s="72"/>
      <c r="Q18" s="72">
        <v>20000</v>
      </c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40">
        <f t="shared" si="0"/>
        <v>54000</v>
      </c>
      <c r="AN18" s="40">
        <f t="shared" si="1"/>
        <v>18000</v>
      </c>
      <c r="AO18" s="40">
        <f t="shared" si="2"/>
        <v>4590</v>
      </c>
    </row>
    <row r="19" spans="1:41" ht="21" x14ac:dyDescent="0.35">
      <c r="A19" s="26" t="s">
        <v>80</v>
      </c>
      <c r="B19" s="27" t="s">
        <v>81</v>
      </c>
      <c r="C19" s="28" t="s">
        <v>82</v>
      </c>
      <c r="D19" s="27" t="s">
        <v>136</v>
      </c>
      <c r="E19" s="27" t="s">
        <v>137</v>
      </c>
      <c r="F19" s="29" t="s">
        <v>138</v>
      </c>
      <c r="G19" s="70" t="s">
        <v>104</v>
      </c>
      <c r="H19" s="72"/>
      <c r="I19" s="72"/>
      <c r="J19" s="72"/>
      <c r="K19" s="72">
        <v>36066</v>
      </c>
      <c r="L19" s="72"/>
      <c r="M19" s="72"/>
      <c r="N19" s="72"/>
      <c r="O19" s="72"/>
      <c r="P19" s="72"/>
      <c r="Q19" s="72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40">
        <f t="shared" si="0"/>
        <v>36066</v>
      </c>
      <c r="AN19" s="40">
        <f t="shared" si="1"/>
        <v>36066</v>
      </c>
      <c r="AO19" s="40">
        <f t="shared" si="2"/>
        <v>3065.61</v>
      </c>
    </row>
    <row r="20" spans="1:41" ht="21" x14ac:dyDescent="0.35">
      <c r="A20" s="26" t="s">
        <v>121</v>
      </c>
      <c r="B20" s="27" t="s">
        <v>122</v>
      </c>
      <c r="C20" s="28" t="s">
        <v>123</v>
      </c>
      <c r="D20" s="27" t="s">
        <v>142</v>
      </c>
      <c r="E20" s="27" t="s">
        <v>143</v>
      </c>
      <c r="F20" s="27" t="s">
        <v>144</v>
      </c>
      <c r="G20" s="69" t="s">
        <v>104</v>
      </c>
      <c r="H20" s="72">
        <v>14400</v>
      </c>
      <c r="I20" s="72">
        <v>6875</v>
      </c>
      <c r="J20" s="72">
        <v>6666.67</v>
      </c>
      <c r="K20" s="72"/>
      <c r="L20" s="72"/>
      <c r="M20" s="72">
        <v>6875</v>
      </c>
      <c r="N20" s="72"/>
      <c r="O20" s="72"/>
      <c r="P20" s="72"/>
      <c r="Q20" s="72">
        <v>6666.67</v>
      </c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40">
        <f t="shared" si="0"/>
        <v>41483.339999999997</v>
      </c>
      <c r="AN20" s="40">
        <f t="shared" si="1"/>
        <v>8296.6679999999997</v>
      </c>
      <c r="AO20" s="40">
        <f t="shared" si="2"/>
        <v>3526.0839000000001</v>
      </c>
    </row>
    <row r="21" spans="1:41" ht="21" x14ac:dyDescent="0.35">
      <c r="A21" s="27" t="s">
        <v>180</v>
      </c>
      <c r="B21" s="27" t="s">
        <v>181</v>
      </c>
      <c r="C21" s="28" t="s">
        <v>182</v>
      </c>
      <c r="D21" s="27" t="s">
        <v>159</v>
      </c>
      <c r="E21" s="27" t="s">
        <v>160</v>
      </c>
      <c r="F21" s="27" t="s">
        <v>161</v>
      </c>
      <c r="G21" s="69" t="s">
        <v>104</v>
      </c>
      <c r="H21" s="72"/>
      <c r="I21" s="72"/>
      <c r="J21" s="72"/>
      <c r="K21" s="72"/>
      <c r="L21" s="72"/>
      <c r="M21" s="72">
        <v>18759.87</v>
      </c>
      <c r="N21" s="72"/>
      <c r="O21" s="72"/>
      <c r="P21" s="72"/>
      <c r="Q21" s="72"/>
      <c r="R21" s="68">
        <v>5441.45</v>
      </c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40">
        <f t="shared" si="0"/>
        <v>24201.32</v>
      </c>
      <c r="AN21" s="40">
        <f t="shared" si="1"/>
        <v>12100.66</v>
      </c>
      <c r="AO21" s="40">
        <f t="shared" si="2"/>
        <v>2057.1122</v>
      </c>
    </row>
    <row r="22" spans="1:41" ht="21" x14ac:dyDescent="0.35">
      <c r="A22" s="30" t="s">
        <v>50</v>
      </c>
      <c r="B22" s="29" t="s">
        <v>51</v>
      </c>
      <c r="C22" s="31" t="s">
        <v>52</v>
      </c>
      <c r="D22" s="27" t="s">
        <v>165</v>
      </c>
      <c r="E22" s="27" t="s">
        <v>166</v>
      </c>
      <c r="F22" s="27" t="s">
        <v>167</v>
      </c>
      <c r="G22" s="69" t="s">
        <v>104</v>
      </c>
      <c r="H22" s="72"/>
      <c r="I22" s="72"/>
      <c r="J22" s="72">
        <v>23900</v>
      </c>
      <c r="K22" s="72"/>
      <c r="L22" s="72"/>
      <c r="M22" s="72"/>
      <c r="N22" s="72"/>
      <c r="O22" s="72"/>
      <c r="P22" s="72"/>
      <c r="Q22" s="72"/>
      <c r="R22" s="68">
        <v>35328</v>
      </c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40">
        <f t="shared" si="0"/>
        <v>59228</v>
      </c>
      <c r="AN22" s="40">
        <f t="shared" si="1"/>
        <v>29614</v>
      </c>
      <c r="AO22" s="40">
        <f t="shared" si="2"/>
        <v>5034.38</v>
      </c>
    </row>
    <row r="23" spans="1:41" ht="21" x14ac:dyDescent="0.35">
      <c r="A23" s="26" t="s">
        <v>168</v>
      </c>
      <c r="B23" s="27" t="s">
        <v>169</v>
      </c>
      <c r="C23" s="28" t="s">
        <v>253</v>
      </c>
      <c r="D23" s="27" t="s">
        <v>171</v>
      </c>
      <c r="E23" s="27" t="s">
        <v>172</v>
      </c>
      <c r="F23" s="27" t="s">
        <v>173</v>
      </c>
      <c r="G23" s="69" t="s">
        <v>104</v>
      </c>
      <c r="H23" s="72"/>
      <c r="I23" s="72"/>
      <c r="J23" s="72"/>
      <c r="K23" s="72"/>
      <c r="L23" s="72">
        <v>18495</v>
      </c>
      <c r="M23" s="72"/>
      <c r="N23" s="72"/>
      <c r="O23" s="72"/>
      <c r="P23" s="72">
        <v>35490</v>
      </c>
      <c r="Q23" s="72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40">
        <f t="shared" si="0"/>
        <v>53985</v>
      </c>
      <c r="AN23" s="40">
        <f t="shared" si="1"/>
        <v>26992.5</v>
      </c>
      <c r="AO23" s="40">
        <f t="shared" si="2"/>
        <v>4588.7250000000004</v>
      </c>
    </row>
    <row r="24" spans="1:41" ht="21" x14ac:dyDescent="0.35">
      <c r="A24" s="26" t="s">
        <v>213</v>
      </c>
      <c r="B24" s="27" t="s">
        <v>214</v>
      </c>
      <c r="C24" s="28" t="s">
        <v>205</v>
      </c>
      <c r="D24" s="27" t="s">
        <v>177</v>
      </c>
      <c r="E24" s="27" t="s">
        <v>178</v>
      </c>
      <c r="F24" s="27" t="s">
        <v>179</v>
      </c>
      <c r="G24" s="69" t="s">
        <v>104</v>
      </c>
      <c r="H24" s="72"/>
      <c r="I24" s="72">
        <v>12546.03</v>
      </c>
      <c r="J24" s="72"/>
      <c r="K24" s="72"/>
      <c r="L24" s="72"/>
      <c r="M24" s="72"/>
      <c r="N24" s="72"/>
      <c r="O24" s="72">
        <v>18268.400000000001</v>
      </c>
      <c r="P24" s="72"/>
      <c r="Q24" s="72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40">
        <f t="shared" si="0"/>
        <v>30814.43</v>
      </c>
      <c r="AN24" s="40">
        <f t="shared" si="1"/>
        <v>15407.215</v>
      </c>
      <c r="AO24" s="40">
        <f t="shared" si="2"/>
        <v>2619.2265500000003</v>
      </c>
    </row>
    <row r="25" spans="1:41" ht="21" x14ac:dyDescent="0.35">
      <c r="A25" s="26" t="s">
        <v>186</v>
      </c>
      <c r="B25" s="27" t="s">
        <v>187</v>
      </c>
      <c r="C25" s="28" t="s">
        <v>188</v>
      </c>
      <c r="D25" s="29" t="s">
        <v>196</v>
      </c>
      <c r="E25" s="29" t="s">
        <v>190</v>
      </c>
      <c r="F25" s="29" t="s">
        <v>197</v>
      </c>
      <c r="G25" s="70" t="s">
        <v>192</v>
      </c>
      <c r="H25" s="72"/>
      <c r="I25" s="72"/>
      <c r="J25" s="72"/>
      <c r="K25" s="72">
        <v>16500</v>
      </c>
      <c r="L25" s="72"/>
      <c r="M25" s="72"/>
      <c r="N25" s="72"/>
      <c r="O25" s="72"/>
      <c r="P25" s="72"/>
      <c r="Q25" s="72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40">
        <f t="shared" si="0"/>
        <v>16500</v>
      </c>
      <c r="AN25" s="40">
        <f t="shared" si="1"/>
        <v>16500</v>
      </c>
      <c r="AO25" s="40">
        <f t="shared" si="2"/>
        <v>1402.5</v>
      </c>
    </row>
    <row r="26" spans="1:41" ht="21" x14ac:dyDescent="0.35">
      <c r="A26" s="26" t="s">
        <v>150</v>
      </c>
      <c r="B26" s="27" t="s">
        <v>151</v>
      </c>
      <c r="C26" s="28" t="s">
        <v>152</v>
      </c>
      <c r="D26" s="27" t="s">
        <v>201</v>
      </c>
      <c r="E26" s="27" t="s">
        <v>190</v>
      </c>
      <c r="F26" s="27" t="s">
        <v>202</v>
      </c>
      <c r="G26" s="70" t="s">
        <v>192</v>
      </c>
      <c r="H26" s="72"/>
      <c r="I26" s="72"/>
      <c r="J26" s="72"/>
      <c r="K26" s="72"/>
      <c r="L26" s="72"/>
      <c r="M26" s="72"/>
      <c r="N26" s="72"/>
      <c r="O26" s="72"/>
      <c r="P26" s="72"/>
      <c r="Q26" s="72">
        <v>12960</v>
      </c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40">
        <f t="shared" si="0"/>
        <v>12960</v>
      </c>
      <c r="AN26" s="40">
        <f t="shared" si="1"/>
        <v>12960</v>
      </c>
      <c r="AO26" s="40">
        <f t="shared" si="2"/>
        <v>1101.6000000000001</v>
      </c>
    </row>
    <row r="27" spans="1:41" ht="21" x14ac:dyDescent="0.35">
      <c r="A27" s="26" t="s">
        <v>227</v>
      </c>
      <c r="B27" s="27" t="s">
        <v>228</v>
      </c>
      <c r="C27" s="28" t="s">
        <v>235</v>
      </c>
      <c r="D27" s="27"/>
      <c r="E27" s="27"/>
      <c r="F27" s="27"/>
      <c r="G27" s="70"/>
      <c r="H27" s="72"/>
      <c r="I27" s="72"/>
      <c r="J27" s="72"/>
      <c r="K27" s="72"/>
      <c r="L27" s="72">
        <v>43921.440000000002</v>
      </c>
      <c r="M27" s="72"/>
      <c r="N27" s="72"/>
      <c r="O27" s="72"/>
      <c r="P27" s="72"/>
      <c r="Q27" s="72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40">
        <f t="shared" si="0"/>
        <v>43921.440000000002</v>
      </c>
      <c r="AN27" s="40">
        <f t="shared" si="1"/>
        <v>43921.440000000002</v>
      </c>
      <c r="AO27" s="40">
        <f t="shared" si="2"/>
        <v>3733.3224000000005</v>
      </c>
    </row>
    <row r="28" spans="1:41" ht="21" x14ac:dyDescent="0.35">
      <c r="A28" s="26" t="s">
        <v>203</v>
      </c>
      <c r="B28" s="27" t="s">
        <v>204</v>
      </c>
      <c r="C28" s="28" t="s">
        <v>170</v>
      </c>
      <c r="D28" s="27"/>
      <c r="E28" s="27"/>
      <c r="F28" s="27"/>
      <c r="G28" s="70"/>
      <c r="H28" s="72"/>
      <c r="I28" s="72"/>
      <c r="J28" s="72"/>
      <c r="K28" s="72"/>
      <c r="L28" s="72"/>
      <c r="M28" s="72"/>
      <c r="N28" s="72">
        <v>16000</v>
      </c>
      <c r="O28" s="72"/>
      <c r="P28" s="72"/>
      <c r="Q28" s="72">
        <v>3000</v>
      </c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40"/>
      <c r="AN28" s="40"/>
      <c r="AO28" s="40"/>
    </row>
    <row r="29" spans="1:41" ht="21" x14ac:dyDescent="0.35">
      <c r="A29" s="26" t="s">
        <v>231</v>
      </c>
      <c r="B29" s="27" t="s">
        <v>232</v>
      </c>
      <c r="C29" s="60" t="s">
        <v>226</v>
      </c>
      <c r="D29" s="29" t="s">
        <v>206</v>
      </c>
      <c r="E29" s="27" t="s">
        <v>190</v>
      </c>
      <c r="F29" s="27" t="s">
        <v>207</v>
      </c>
      <c r="G29" s="69" t="s">
        <v>208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40">
        <f t="shared" si="0"/>
        <v>0</v>
      </c>
      <c r="AN29" s="40" t="e">
        <f t="shared" si="1"/>
        <v>#DIV/0!</v>
      </c>
      <c r="AO29" s="40">
        <f t="shared" si="2"/>
        <v>0</v>
      </c>
    </row>
    <row r="30" spans="1:41" ht="21" x14ac:dyDescent="0.35">
      <c r="A30" s="27" t="s">
        <v>229</v>
      </c>
      <c r="B30" s="27" t="s">
        <v>230</v>
      </c>
      <c r="C30" s="60" t="s">
        <v>225</v>
      </c>
      <c r="D30" s="50"/>
      <c r="E30" s="35"/>
      <c r="F30" s="35"/>
      <c r="G30" s="35"/>
      <c r="H30" s="72"/>
      <c r="I30" s="72">
        <v>16567.62</v>
      </c>
      <c r="J30" s="72"/>
      <c r="K30" s="72"/>
      <c r="L30" s="72"/>
      <c r="M30" s="72">
        <v>32960</v>
      </c>
      <c r="N30" s="72"/>
      <c r="O30" s="72"/>
      <c r="P30" s="72"/>
      <c r="Q30" s="72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40">
        <f t="shared" si="0"/>
        <v>49527.619999999995</v>
      </c>
      <c r="AN30" s="40">
        <f t="shared" si="1"/>
        <v>24763.809999999998</v>
      </c>
      <c r="AO30" s="40">
        <f t="shared" si="2"/>
        <v>4209.8477000000003</v>
      </c>
    </row>
    <row r="31" spans="1:41" ht="21" x14ac:dyDescent="0.35">
      <c r="A31" s="27" t="s">
        <v>238</v>
      </c>
      <c r="B31" s="27" t="s">
        <v>239</v>
      </c>
      <c r="C31" s="28" t="s">
        <v>129</v>
      </c>
      <c r="D31" s="50"/>
      <c r="E31" s="35"/>
      <c r="F31" s="35"/>
      <c r="G31" s="35"/>
      <c r="H31" s="72"/>
      <c r="I31" s="72"/>
      <c r="J31" s="72">
        <v>22000</v>
      </c>
      <c r="K31" s="72"/>
      <c r="L31" s="72">
        <v>12000</v>
      </c>
      <c r="M31" s="72"/>
      <c r="N31" s="72"/>
      <c r="O31" s="72">
        <v>20000</v>
      </c>
      <c r="P31" s="72"/>
      <c r="Q31" s="72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40"/>
      <c r="AN31" s="40"/>
      <c r="AO31" s="40"/>
    </row>
    <row r="32" spans="1:41" ht="21" x14ac:dyDescent="0.35">
      <c r="A32" s="27" t="s">
        <v>240</v>
      </c>
      <c r="B32" s="27" t="s">
        <v>241</v>
      </c>
      <c r="C32" s="28" t="s">
        <v>242</v>
      </c>
      <c r="D32" s="50"/>
      <c r="E32" s="35"/>
      <c r="F32" s="35"/>
      <c r="G32" s="35"/>
      <c r="H32" s="72"/>
      <c r="I32" s="72"/>
      <c r="J32" s="72"/>
      <c r="K32" s="72"/>
      <c r="L32" s="72">
        <v>18502.23</v>
      </c>
      <c r="M32" s="72"/>
      <c r="N32" s="72"/>
      <c r="O32" s="72"/>
      <c r="P32" s="72"/>
      <c r="Q32" s="72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40"/>
      <c r="AN32" s="40"/>
      <c r="AO32" s="40"/>
    </row>
    <row r="33" spans="1:41" ht="21" x14ac:dyDescent="0.35">
      <c r="A33" s="26" t="s">
        <v>245</v>
      </c>
      <c r="B33" s="27" t="s">
        <v>246</v>
      </c>
      <c r="C33" s="28" t="s">
        <v>247</v>
      </c>
      <c r="D33" s="50"/>
      <c r="E33" s="35"/>
      <c r="F33" s="35"/>
      <c r="G33" s="35"/>
      <c r="H33" s="72"/>
      <c r="I33" s="72"/>
      <c r="J33" s="72">
        <v>6328.57</v>
      </c>
      <c r="K33" s="72"/>
      <c r="L33" s="72"/>
      <c r="M33" s="72"/>
      <c r="N33" s="72"/>
      <c r="O33" s="72">
        <v>16000</v>
      </c>
      <c r="P33" s="72"/>
      <c r="Q33" s="72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40"/>
      <c r="AN33" s="40"/>
      <c r="AO33" s="40"/>
    </row>
    <row r="34" spans="1:41" ht="21" x14ac:dyDescent="0.35">
      <c r="A34" s="26" t="s">
        <v>251</v>
      </c>
      <c r="B34" s="27" t="s">
        <v>252</v>
      </c>
      <c r="C34" s="28" t="s">
        <v>250</v>
      </c>
      <c r="D34" s="50"/>
      <c r="E34" s="35"/>
      <c r="F34" s="35"/>
      <c r="G34" s="35"/>
      <c r="H34" s="72"/>
      <c r="I34" s="73"/>
      <c r="J34" s="73"/>
      <c r="K34" s="73"/>
      <c r="L34" s="73"/>
      <c r="M34" s="72">
        <v>5096.16</v>
      </c>
      <c r="N34" s="72"/>
      <c r="O34" s="72"/>
      <c r="P34" s="72"/>
      <c r="Q34" s="72">
        <v>5117.87</v>
      </c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40"/>
      <c r="AN34" s="40"/>
      <c r="AO34" s="40"/>
    </row>
    <row r="35" spans="1:41" ht="21" x14ac:dyDescent="0.35">
      <c r="A35" s="26" t="s">
        <v>254</v>
      </c>
      <c r="B35" s="27" t="s">
        <v>255</v>
      </c>
      <c r="C35" s="60" t="s">
        <v>223</v>
      </c>
      <c r="D35" s="50"/>
      <c r="E35" s="35"/>
      <c r="F35" s="35"/>
      <c r="G35" s="35"/>
      <c r="H35" s="72">
        <v>36100</v>
      </c>
      <c r="I35" s="72"/>
      <c r="J35" s="72"/>
      <c r="K35" s="72"/>
      <c r="L35" s="72"/>
      <c r="M35" s="72"/>
      <c r="N35" s="72"/>
      <c r="O35" s="72"/>
      <c r="P35" s="72"/>
      <c r="Q35" s="72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40">
        <f t="shared" ref="AM35" si="3">SUM(H35:AL35)</f>
        <v>36100</v>
      </c>
      <c r="AN35" s="40">
        <f t="shared" ref="AN35" si="4">AVERAGE(H35:AK35)</f>
        <v>36100</v>
      </c>
      <c r="AO35" s="40">
        <f t="shared" ref="AO35" si="5">AM35*8.5%</f>
        <v>3068.5</v>
      </c>
    </row>
    <row r="36" spans="1:41" ht="21" x14ac:dyDescent="0.35">
      <c r="A36" s="26" t="s">
        <v>224</v>
      </c>
      <c r="B36" s="27"/>
      <c r="C36" s="57" t="s">
        <v>222</v>
      </c>
      <c r="D36" s="74"/>
      <c r="E36" s="75"/>
      <c r="F36" s="75"/>
      <c r="G36" s="75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40">
        <f t="shared" si="0"/>
        <v>0</v>
      </c>
      <c r="AN36" s="40" t="e">
        <f t="shared" si="1"/>
        <v>#DIV/0!</v>
      </c>
      <c r="AO36" s="40">
        <f t="shared" si="2"/>
        <v>0</v>
      </c>
    </row>
    <row r="37" spans="1:41" ht="21" x14ac:dyDescent="0.35">
      <c r="A37" s="27" t="s">
        <v>212</v>
      </c>
      <c r="B37" s="27"/>
      <c r="C37" s="28"/>
      <c r="D37" s="50"/>
      <c r="E37" s="35"/>
      <c r="F37" s="35"/>
      <c r="G37" s="35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40">
        <f t="shared" si="0"/>
        <v>0</v>
      </c>
      <c r="AN37" s="40" t="e">
        <f t="shared" si="1"/>
        <v>#DIV/0!</v>
      </c>
      <c r="AO37" s="40">
        <f t="shared" si="2"/>
        <v>0</v>
      </c>
    </row>
    <row r="38" spans="1:41" ht="21" x14ac:dyDescent="0.35">
      <c r="C38" s="34" t="s">
        <v>1</v>
      </c>
      <c r="D38" s="35"/>
      <c r="E38" s="34"/>
      <c r="H38" s="38">
        <f>SUM(H5:H37)</f>
        <v>57375</v>
      </c>
      <c r="I38" s="38">
        <f>SUM(I5:I37)</f>
        <v>35988.649999999994</v>
      </c>
      <c r="J38" s="38">
        <f>SUM(J5:J37)</f>
        <v>83495.239999999991</v>
      </c>
      <c r="K38" s="38">
        <f>SUM(K5:K29)</f>
        <v>129280.22</v>
      </c>
      <c r="L38" s="38">
        <f t="shared" ref="L38:T38" si="6">SUM(L5:L37)</f>
        <v>137397.39000000001</v>
      </c>
      <c r="M38" s="38">
        <f t="shared" si="6"/>
        <v>120971.45</v>
      </c>
      <c r="N38" s="38">
        <f t="shared" si="6"/>
        <v>16000</v>
      </c>
      <c r="O38" s="38">
        <f t="shared" si="6"/>
        <v>129448.4</v>
      </c>
      <c r="P38" s="38">
        <f t="shared" si="6"/>
        <v>35490</v>
      </c>
      <c r="Q38" s="38">
        <f t="shared" si="6"/>
        <v>127202.54</v>
      </c>
      <c r="R38" s="38">
        <f t="shared" si="6"/>
        <v>115726.25</v>
      </c>
      <c r="S38" s="38">
        <f t="shared" si="6"/>
        <v>0</v>
      </c>
      <c r="T38" s="38">
        <f t="shared" si="6"/>
        <v>0</v>
      </c>
      <c r="U38" s="38">
        <f>SUM(U5:U29)</f>
        <v>0</v>
      </c>
      <c r="V38" s="38">
        <f>SUM(V5:V37)</f>
        <v>0</v>
      </c>
      <c r="W38" s="38">
        <f>SUM(W5:W29)</f>
        <v>0</v>
      </c>
      <c r="X38" s="38">
        <f>SUM(X5:X29)</f>
        <v>0</v>
      </c>
      <c r="Y38" s="38">
        <f>SUM(Y5:Y37)</f>
        <v>0</v>
      </c>
      <c r="Z38" s="38">
        <f>SUM(Z5:Z29)</f>
        <v>0</v>
      </c>
      <c r="AA38" s="38">
        <f>SUM(AA5:AA29)</f>
        <v>0</v>
      </c>
      <c r="AB38" s="38">
        <f>SUM(AB5:AB37)</f>
        <v>0</v>
      </c>
      <c r="AC38" s="38">
        <f>SUM(AC5:AC37)</f>
        <v>0</v>
      </c>
      <c r="AD38" s="38">
        <f>SUM(AD5:AD37)</f>
        <v>0</v>
      </c>
      <c r="AE38" s="38">
        <f>SUM(AE5:AE37)</f>
        <v>0</v>
      </c>
      <c r="AF38" s="38">
        <f t="shared" ref="AF38:AL38" si="7">SUM(AF5:AF29)</f>
        <v>0</v>
      </c>
      <c r="AG38" s="38">
        <f>SUM(AG5:AG37)</f>
        <v>0</v>
      </c>
      <c r="AH38" s="38">
        <f>SUM(AH5:AH37)</f>
        <v>0</v>
      </c>
      <c r="AI38" s="38">
        <f>SUM(AI5:AI37)</f>
        <v>0</v>
      </c>
      <c r="AJ38" s="38">
        <f>SUM(AJ5:AJ37)</f>
        <v>0</v>
      </c>
      <c r="AK38" s="38">
        <f>SUM(AK5:AK37)</f>
        <v>0</v>
      </c>
      <c r="AL38" s="38">
        <f t="shared" si="7"/>
        <v>0</v>
      </c>
      <c r="AM38" s="40">
        <f t="shared" si="0"/>
        <v>988375.14</v>
      </c>
      <c r="AN38" s="40" t="e">
        <f>SUM(AN5:AN29)</f>
        <v>#DIV/0!</v>
      </c>
      <c r="AO38" s="40">
        <f>SUM(AO5:AO29)</f>
        <v>66189.728650000005</v>
      </c>
    </row>
    <row r="39" spans="1:41" x14ac:dyDescent="0.25">
      <c r="D39" s="33" t="s">
        <v>9</v>
      </c>
      <c r="H39" s="24">
        <v>45992</v>
      </c>
      <c r="I39" s="24">
        <v>45993</v>
      </c>
      <c r="J39" s="24">
        <v>45994</v>
      </c>
      <c r="K39" s="24">
        <v>45995</v>
      </c>
      <c r="L39" s="24">
        <v>45996</v>
      </c>
      <c r="M39" s="24">
        <v>45997</v>
      </c>
      <c r="N39" s="24">
        <v>45998</v>
      </c>
      <c r="O39" s="24">
        <v>45999</v>
      </c>
      <c r="P39" s="24">
        <v>46000</v>
      </c>
      <c r="Q39" s="24">
        <v>46001</v>
      </c>
      <c r="R39" s="24">
        <v>46002</v>
      </c>
      <c r="S39" s="24">
        <v>46003</v>
      </c>
      <c r="T39" s="24">
        <v>46004</v>
      </c>
      <c r="U39" s="24">
        <v>46005</v>
      </c>
      <c r="V39" s="24">
        <v>46006</v>
      </c>
      <c r="W39" s="24">
        <v>46007</v>
      </c>
      <c r="X39" s="24">
        <v>46008</v>
      </c>
      <c r="Y39" s="24">
        <v>46009</v>
      </c>
      <c r="Z39" s="24">
        <v>46010</v>
      </c>
      <c r="AA39" s="24">
        <v>46011</v>
      </c>
      <c r="AB39" s="24">
        <v>46012</v>
      </c>
      <c r="AC39" s="24">
        <v>46013</v>
      </c>
      <c r="AD39" s="24">
        <v>46014</v>
      </c>
      <c r="AE39" s="24">
        <v>46015</v>
      </c>
      <c r="AF39" s="24">
        <v>46016</v>
      </c>
      <c r="AG39" s="24">
        <v>46017</v>
      </c>
      <c r="AH39" s="24">
        <v>46018</v>
      </c>
      <c r="AI39" s="24">
        <v>46019</v>
      </c>
      <c r="AJ39" s="24">
        <v>46020</v>
      </c>
      <c r="AK39" s="24">
        <v>46021</v>
      </c>
      <c r="AL39" s="24">
        <v>46022</v>
      </c>
      <c r="AN39" t="s">
        <v>9</v>
      </c>
      <c r="AO39" t="s">
        <v>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FDBF-86EC-46F2-BCBC-7B511AFEECFA}">
  <sheetPr>
    <tabColor rgb="FFFFFF00"/>
  </sheetPr>
  <dimension ref="C4:M43"/>
  <sheetViews>
    <sheetView topLeftCell="A21" workbookViewId="0">
      <selection activeCell="G44" sqref="G44"/>
    </sheetView>
  </sheetViews>
  <sheetFormatPr defaultRowHeight="15" x14ac:dyDescent="0.25"/>
  <cols>
    <col min="3" max="3" width="7" bestFit="1" customWidth="1"/>
    <col min="4" max="4" width="14" bestFit="1" customWidth="1"/>
    <col min="5" max="5" width="21.5703125" bestFit="1" customWidth="1"/>
    <col min="6" max="6" width="7" bestFit="1" customWidth="1"/>
    <col min="7" max="7" width="15.5703125" bestFit="1" customWidth="1"/>
    <col min="8" max="9" width="20.42578125" customWidth="1"/>
    <col min="10" max="10" width="16.5703125" bestFit="1" customWidth="1"/>
    <col min="11" max="11" width="27.7109375" customWidth="1"/>
    <col min="12" max="12" width="13.42578125" style="12" customWidth="1"/>
    <col min="13" max="13" width="14.42578125" bestFit="1" customWidth="1"/>
  </cols>
  <sheetData>
    <row r="4" spans="3:13" ht="24" x14ac:dyDescent="0.4">
      <c r="C4" s="88" t="s">
        <v>10</v>
      </c>
      <c r="D4" s="88"/>
      <c r="E4" s="88"/>
      <c r="F4" s="88"/>
      <c r="G4" s="88"/>
      <c r="H4" s="88"/>
      <c r="I4" s="88"/>
      <c r="J4" s="88"/>
      <c r="K4" s="88"/>
    </row>
    <row r="5" spans="3:13" ht="19.5" thickBot="1" x14ac:dyDescent="0.35">
      <c r="C5" s="13"/>
      <c r="D5" s="13"/>
      <c r="E5" s="13"/>
      <c r="F5" s="13"/>
      <c r="G5" s="13"/>
      <c r="H5" s="13"/>
      <c r="I5" s="13"/>
      <c r="J5" s="13"/>
      <c r="K5" s="13"/>
    </row>
    <row r="6" spans="3:13" ht="15.75" thickBot="1" x14ac:dyDescent="0.3">
      <c r="C6" s="20" t="s">
        <v>15</v>
      </c>
      <c r="D6" s="21" t="s">
        <v>14</v>
      </c>
      <c r="E6" s="21" t="s">
        <v>16</v>
      </c>
      <c r="F6" s="21"/>
      <c r="G6" s="22" t="s">
        <v>17</v>
      </c>
    </row>
    <row r="7" spans="3:13" x14ac:dyDescent="0.25">
      <c r="C7" s="16">
        <v>4</v>
      </c>
      <c r="D7" s="17" t="s">
        <v>11</v>
      </c>
      <c r="E7" s="18">
        <v>70000</v>
      </c>
      <c r="F7" s="17"/>
      <c r="G7" s="19">
        <f>E7*C7</f>
        <v>280000</v>
      </c>
    </row>
    <row r="8" spans="3:13" ht="15.75" thickBot="1" x14ac:dyDescent="0.3">
      <c r="C8" s="16">
        <v>27</v>
      </c>
      <c r="D8" s="17" t="s">
        <v>12</v>
      </c>
      <c r="E8" s="18">
        <v>100000</v>
      </c>
      <c r="F8" s="17"/>
      <c r="G8" s="19">
        <f>E8*C8</f>
        <v>2700000</v>
      </c>
    </row>
    <row r="9" spans="3:13" ht="15.75" thickBot="1" x14ac:dyDescent="0.3">
      <c r="C9" s="20"/>
      <c r="D9" s="21"/>
      <c r="E9" s="21" t="s">
        <v>13</v>
      </c>
      <c r="F9" s="21"/>
      <c r="G9" s="23">
        <f>SUM(G7:G8)</f>
        <v>2980000</v>
      </c>
    </row>
    <row r="11" spans="3:13" x14ac:dyDescent="0.25">
      <c r="G11" s="1" t="s">
        <v>0</v>
      </c>
    </row>
    <row r="12" spans="3:13" ht="30.75" x14ac:dyDescent="0.3">
      <c r="C12" s="41" t="s">
        <v>1</v>
      </c>
      <c r="D12" s="42" t="s">
        <v>2</v>
      </c>
      <c r="E12" s="42" t="s">
        <v>3</v>
      </c>
      <c r="F12" s="41" t="s">
        <v>1</v>
      </c>
      <c r="G12" s="43" t="s">
        <v>4</v>
      </c>
      <c r="H12" s="43" t="s">
        <v>5</v>
      </c>
      <c r="I12" s="43" t="s">
        <v>6</v>
      </c>
      <c r="J12" s="41" t="s">
        <v>7</v>
      </c>
      <c r="K12" s="41" t="s">
        <v>8</v>
      </c>
      <c r="L12" s="45" t="s">
        <v>211</v>
      </c>
      <c r="M12" s="44" t="s">
        <v>210</v>
      </c>
    </row>
    <row r="13" spans="3:13" x14ac:dyDescent="0.25">
      <c r="C13" s="2">
        <v>45992</v>
      </c>
      <c r="D13" s="3">
        <f>AVERAGE(G13)</f>
        <v>0</v>
      </c>
      <c r="E13" s="3">
        <f>D13*30</f>
        <v>0</v>
      </c>
      <c r="F13" s="2">
        <v>45992</v>
      </c>
      <c r="G13" s="4">
        <f>'PRODUÇAO JOSÉ'!H38</f>
        <v>0</v>
      </c>
      <c r="H13" s="5">
        <f>G13</f>
        <v>0</v>
      </c>
      <c r="I13" s="6">
        <f>H13/3000000</f>
        <v>0</v>
      </c>
      <c r="J13" s="5">
        <f>H13*30</f>
        <v>0</v>
      </c>
      <c r="K13" s="7">
        <f>J13-3000000</f>
        <v>-3000000</v>
      </c>
      <c r="L13" s="46">
        <f>J13/3000000</f>
        <v>0</v>
      </c>
      <c r="M13" s="15">
        <f>G13*8.6%</f>
        <v>0</v>
      </c>
    </row>
    <row r="14" spans="3:13" x14ac:dyDescent="0.25">
      <c r="C14" s="2">
        <v>45993</v>
      </c>
      <c r="D14" s="3">
        <f>AVERAGE(G13:G14)</f>
        <v>0</v>
      </c>
      <c r="E14" s="3">
        <f t="shared" ref="E14:E42" si="0">D14*30</f>
        <v>0</v>
      </c>
      <c r="F14" s="2">
        <v>45993</v>
      </c>
      <c r="G14" s="4">
        <f>'PRODUÇAO JOSÉ'!I38</f>
        <v>0</v>
      </c>
      <c r="H14" s="8">
        <f>H13+G14</f>
        <v>0</v>
      </c>
      <c r="I14" s="6">
        <f t="shared" ref="I14:I43" si="1">H14/3000000</f>
        <v>0</v>
      </c>
      <c r="J14" s="9">
        <f>H14/2*30</f>
        <v>0</v>
      </c>
      <c r="K14" s="7">
        <f t="shared" ref="K14:K43" si="2">J14-3000000</f>
        <v>-3000000</v>
      </c>
      <c r="L14" s="46">
        <f>J14/3000000</f>
        <v>0</v>
      </c>
      <c r="M14" s="15">
        <f t="shared" ref="M14:M43" si="3">G14*8.6%</f>
        <v>0</v>
      </c>
    </row>
    <row r="15" spans="3:13" x14ac:dyDescent="0.25">
      <c r="C15" s="2">
        <v>45994</v>
      </c>
      <c r="D15" s="3">
        <f>AVERAGE(G13:G15)</f>
        <v>7333.333333333333</v>
      </c>
      <c r="E15" s="3">
        <f t="shared" si="0"/>
        <v>220000</v>
      </c>
      <c r="F15" s="2">
        <v>45994</v>
      </c>
      <c r="G15" s="4">
        <f>'PRODUÇAO JOSÉ'!J38</f>
        <v>22000</v>
      </c>
      <c r="H15" s="8">
        <f t="shared" ref="H15:H43" si="4">H14+G15</f>
        <v>22000</v>
      </c>
      <c r="I15" s="6">
        <f t="shared" si="1"/>
        <v>7.3333333333333332E-3</v>
      </c>
      <c r="J15" s="9">
        <f>H15/3*30</f>
        <v>220000</v>
      </c>
      <c r="K15" s="7">
        <f t="shared" si="2"/>
        <v>-2780000</v>
      </c>
      <c r="L15" s="46">
        <f t="shared" ref="L15:L43" si="5">J15/3000000</f>
        <v>7.3333333333333334E-2</v>
      </c>
      <c r="M15" s="15">
        <f t="shared" si="3"/>
        <v>1891.9999999999998</v>
      </c>
    </row>
    <row r="16" spans="3:13" x14ac:dyDescent="0.25">
      <c r="C16" s="2">
        <v>45995</v>
      </c>
      <c r="D16" s="3">
        <f>AVERAGE(G13:G16)</f>
        <v>15125</v>
      </c>
      <c r="E16" s="3">
        <f t="shared" si="0"/>
        <v>453750</v>
      </c>
      <c r="F16" s="2">
        <v>45995</v>
      </c>
      <c r="G16" s="4">
        <f>'PRODUÇAO JOSÉ'!K38</f>
        <v>38500</v>
      </c>
      <c r="H16" s="8">
        <f>H15+G16</f>
        <v>60500</v>
      </c>
      <c r="I16" s="6">
        <f t="shared" si="1"/>
        <v>2.0166666666666666E-2</v>
      </c>
      <c r="J16" s="9">
        <f>H16/4*30</f>
        <v>453750</v>
      </c>
      <c r="K16" s="7">
        <f t="shared" si="2"/>
        <v>-2546250</v>
      </c>
      <c r="L16" s="46">
        <f t="shared" si="5"/>
        <v>0.15125</v>
      </c>
      <c r="M16" s="15">
        <f t="shared" si="3"/>
        <v>3310.9999999999995</v>
      </c>
    </row>
    <row r="17" spans="3:13" x14ac:dyDescent="0.25">
      <c r="C17" s="2">
        <v>45996</v>
      </c>
      <c r="D17" s="3">
        <f>AVERAGE(G13:G17)</f>
        <v>14500</v>
      </c>
      <c r="E17" s="3">
        <f t="shared" si="0"/>
        <v>435000</v>
      </c>
      <c r="F17" s="2">
        <v>45996</v>
      </c>
      <c r="G17" s="4">
        <f>'PRODUÇAO JOSÉ'!L38</f>
        <v>12000</v>
      </c>
      <c r="H17" s="8">
        <f t="shared" si="4"/>
        <v>72500</v>
      </c>
      <c r="I17" s="6">
        <f t="shared" si="1"/>
        <v>2.4166666666666666E-2</v>
      </c>
      <c r="J17" s="9">
        <f>H17/5*30</f>
        <v>435000</v>
      </c>
      <c r="K17" s="7">
        <f t="shared" si="2"/>
        <v>-2565000</v>
      </c>
      <c r="L17" s="46">
        <f t="shared" si="5"/>
        <v>0.14499999999999999</v>
      </c>
      <c r="M17" s="15">
        <f t="shared" si="3"/>
        <v>1032</v>
      </c>
    </row>
    <row r="18" spans="3:13" x14ac:dyDescent="0.25">
      <c r="C18" s="2">
        <v>45997</v>
      </c>
      <c r="D18" s="3">
        <f>AVERAGE(G13:G18)</f>
        <v>14083.333333333334</v>
      </c>
      <c r="E18" s="3">
        <f t="shared" si="0"/>
        <v>422500</v>
      </c>
      <c r="F18" s="2">
        <v>45997</v>
      </c>
      <c r="G18" s="4">
        <f>'PRODUÇAO JOSÉ'!M38</f>
        <v>12000</v>
      </c>
      <c r="H18" s="8">
        <f>H17+G18</f>
        <v>84500</v>
      </c>
      <c r="I18" s="6">
        <f t="shared" si="1"/>
        <v>2.8166666666666666E-2</v>
      </c>
      <c r="J18" s="9">
        <f>H18/6*30</f>
        <v>422500</v>
      </c>
      <c r="K18" s="7">
        <f t="shared" si="2"/>
        <v>-2577500</v>
      </c>
      <c r="L18" s="46">
        <f t="shared" si="5"/>
        <v>0.14083333333333334</v>
      </c>
      <c r="M18" s="15">
        <f t="shared" si="3"/>
        <v>1032</v>
      </c>
    </row>
    <row r="19" spans="3:13" x14ac:dyDescent="0.25">
      <c r="C19" s="2">
        <v>45998</v>
      </c>
      <c r="D19" s="3">
        <f>AVERAGE(G13:G19)</f>
        <v>14357.142857142857</v>
      </c>
      <c r="E19" s="3">
        <f t="shared" si="0"/>
        <v>430714.28571428568</v>
      </c>
      <c r="F19" s="2">
        <v>45998</v>
      </c>
      <c r="G19" s="4">
        <f>'PRODUÇAO JOSÉ'!N38</f>
        <v>16000</v>
      </c>
      <c r="H19" s="8">
        <f t="shared" si="4"/>
        <v>100500</v>
      </c>
      <c r="I19" s="6">
        <f t="shared" si="1"/>
        <v>3.3500000000000002E-2</v>
      </c>
      <c r="J19" s="9">
        <f>H19/7*30</f>
        <v>430714.28571428568</v>
      </c>
      <c r="K19" s="7">
        <f t="shared" si="2"/>
        <v>-2569285.7142857146</v>
      </c>
      <c r="L19" s="46">
        <f t="shared" si="5"/>
        <v>0.14357142857142857</v>
      </c>
      <c r="M19" s="15">
        <f t="shared" si="3"/>
        <v>1376</v>
      </c>
    </row>
    <row r="20" spans="3:13" x14ac:dyDescent="0.25">
      <c r="C20" s="2">
        <v>45999</v>
      </c>
      <c r="D20" s="3">
        <f>AVERAGE(G13:G20)</f>
        <v>17335</v>
      </c>
      <c r="E20" s="3">
        <f t="shared" si="0"/>
        <v>520050</v>
      </c>
      <c r="F20" s="2">
        <v>45999</v>
      </c>
      <c r="G20" s="4">
        <f>'PRODUÇAO JOSÉ'!O38</f>
        <v>38180</v>
      </c>
      <c r="H20" s="8">
        <f t="shared" si="4"/>
        <v>138680</v>
      </c>
      <c r="I20" s="6">
        <f t="shared" si="1"/>
        <v>4.6226666666666666E-2</v>
      </c>
      <c r="J20" s="9">
        <f>H20/8*30</f>
        <v>520050</v>
      </c>
      <c r="K20" s="7">
        <f t="shared" si="2"/>
        <v>-2479950</v>
      </c>
      <c r="L20" s="46">
        <f t="shared" si="5"/>
        <v>0.17335</v>
      </c>
      <c r="M20" s="15">
        <f t="shared" si="3"/>
        <v>3283.4799999999996</v>
      </c>
    </row>
    <row r="21" spans="3:13" x14ac:dyDescent="0.25">
      <c r="C21" s="2">
        <v>46000</v>
      </c>
      <c r="D21" s="3">
        <f>AVERAGE(G13:G21)</f>
        <v>15408.888888888889</v>
      </c>
      <c r="E21" s="3">
        <f t="shared" si="0"/>
        <v>462266.66666666669</v>
      </c>
      <c r="F21" s="2">
        <v>46000</v>
      </c>
      <c r="G21" s="4">
        <f>'PRODUÇAO JOSÉ'!P38</f>
        <v>0</v>
      </c>
      <c r="H21" s="8">
        <f t="shared" si="4"/>
        <v>138680</v>
      </c>
      <c r="I21" s="6">
        <f t="shared" si="1"/>
        <v>4.6226666666666666E-2</v>
      </c>
      <c r="J21" s="9">
        <f>H21/9*30</f>
        <v>462266.66666666669</v>
      </c>
      <c r="K21" s="7">
        <f t="shared" si="2"/>
        <v>-2537733.3333333335</v>
      </c>
      <c r="L21" s="46">
        <f t="shared" si="5"/>
        <v>0.15408888888888889</v>
      </c>
      <c r="M21" s="15">
        <f t="shared" si="3"/>
        <v>0</v>
      </c>
    </row>
    <row r="22" spans="3:13" x14ac:dyDescent="0.25">
      <c r="C22" s="2">
        <v>46001</v>
      </c>
      <c r="D22" s="3">
        <f>AVERAGE(G13:G22)</f>
        <v>16168</v>
      </c>
      <c r="E22" s="3">
        <f t="shared" si="0"/>
        <v>485040</v>
      </c>
      <c r="F22" s="2">
        <v>46001</v>
      </c>
      <c r="G22" s="4">
        <f>'PRODUÇAO JOSÉ'!Q38</f>
        <v>23000</v>
      </c>
      <c r="H22" s="8">
        <f t="shared" si="4"/>
        <v>161680</v>
      </c>
      <c r="I22" s="6">
        <f t="shared" si="1"/>
        <v>5.3893333333333335E-2</v>
      </c>
      <c r="J22" s="9">
        <f>H22/10*30</f>
        <v>485040</v>
      </c>
      <c r="K22" s="7">
        <f t="shared" si="2"/>
        <v>-2514960</v>
      </c>
      <c r="L22" s="46">
        <f t="shared" si="5"/>
        <v>0.16167999999999999</v>
      </c>
      <c r="M22" s="15">
        <f t="shared" si="3"/>
        <v>1977.9999999999998</v>
      </c>
    </row>
    <row r="23" spans="3:13" x14ac:dyDescent="0.25">
      <c r="C23" s="2">
        <v>46002</v>
      </c>
      <c r="D23" s="3">
        <f>AVERAGE(G13:G23)</f>
        <v>14698.181818181818</v>
      </c>
      <c r="E23" s="3">
        <f t="shared" si="0"/>
        <v>440945.45454545453</v>
      </c>
      <c r="F23" s="2">
        <v>46002</v>
      </c>
      <c r="G23" s="4">
        <f>'PRODUÇAO JOSÉ'!R38</f>
        <v>0</v>
      </c>
      <c r="H23" s="8">
        <f t="shared" si="4"/>
        <v>161680</v>
      </c>
      <c r="I23" s="6">
        <f t="shared" si="1"/>
        <v>5.3893333333333335E-2</v>
      </c>
      <c r="J23" s="9">
        <f>H23/11*30</f>
        <v>440945.45454545453</v>
      </c>
      <c r="K23" s="7">
        <f t="shared" si="2"/>
        <v>-2559054.5454545454</v>
      </c>
      <c r="L23" s="46">
        <f t="shared" si="5"/>
        <v>0.14698181818181819</v>
      </c>
      <c r="M23" s="15">
        <f t="shared" si="3"/>
        <v>0</v>
      </c>
    </row>
    <row r="24" spans="3:13" x14ac:dyDescent="0.25">
      <c r="C24" s="2">
        <v>46003</v>
      </c>
      <c r="D24" s="3">
        <f>AVERAGE(G13:G24)</f>
        <v>13473.333333333334</v>
      </c>
      <c r="E24" s="3">
        <f t="shared" si="0"/>
        <v>404200</v>
      </c>
      <c r="F24" s="2">
        <v>46003</v>
      </c>
      <c r="G24" s="4">
        <f>'PRODUÇAO JOSÉ'!S38</f>
        <v>0</v>
      </c>
      <c r="H24" s="8">
        <f t="shared" si="4"/>
        <v>161680</v>
      </c>
      <c r="I24" s="6">
        <f t="shared" si="1"/>
        <v>5.3893333333333335E-2</v>
      </c>
      <c r="J24" s="9">
        <f>H24/12*30</f>
        <v>404200</v>
      </c>
      <c r="K24" s="7">
        <f t="shared" si="2"/>
        <v>-2595800</v>
      </c>
      <c r="L24" s="46">
        <f t="shared" si="5"/>
        <v>0.13473333333333334</v>
      </c>
      <c r="M24" s="15">
        <f t="shared" si="3"/>
        <v>0</v>
      </c>
    </row>
    <row r="25" spans="3:13" x14ac:dyDescent="0.25">
      <c r="C25" s="2">
        <v>46004</v>
      </c>
      <c r="D25" s="3">
        <f>AVERAGE(G13:G25)</f>
        <v>12436.923076923076</v>
      </c>
      <c r="E25" s="3">
        <f t="shared" si="0"/>
        <v>373107.69230769231</v>
      </c>
      <c r="F25" s="2">
        <v>46004</v>
      </c>
      <c r="G25" s="4">
        <f>'PRODUÇAO JOSÉ'!T38</f>
        <v>0</v>
      </c>
      <c r="H25" s="8">
        <f t="shared" si="4"/>
        <v>161680</v>
      </c>
      <c r="I25" s="6">
        <f t="shared" si="1"/>
        <v>5.3893333333333335E-2</v>
      </c>
      <c r="J25" s="9">
        <f>H25/13*30</f>
        <v>373107.69230769231</v>
      </c>
      <c r="K25" s="7">
        <f t="shared" si="2"/>
        <v>-2626892.3076923075</v>
      </c>
      <c r="L25" s="46">
        <f t="shared" si="5"/>
        <v>0.12436923076923077</v>
      </c>
      <c r="M25" s="15">
        <f t="shared" si="3"/>
        <v>0</v>
      </c>
    </row>
    <row r="26" spans="3:13" x14ac:dyDescent="0.25">
      <c r="C26" s="2">
        <v>46005</v>
      </c>
      <c r="D26" s="3">
        <f>AVERAGE(G13:G26)</f>
        <v>11548.571428571429</v>
      </c>
      <c r="E26" s="3">
        <f t="shared" si="0"/>
        <v>346457.1428571429</v>
      </c>
      <c r="F26" s="2">
        <v>46005</v>
      </c>
      <c r="G26" s="4">
        <f>'PRODUÇAO JOSÉ'!U38</f>
        <v>0</v>
      </c>
      <c r="H26" s="8">
        <f t="shared" si="4"/>
        <v>161680</v>
      </c>
      <c r="I26" s="6">
        <f t="shared" si="1"/>
        <v>5.3893333333333335E-2</v>
      </c>
      <c r="J26" s="9">
        <f>H26/14*30</f>
        <v>346457.1428571429</v>
      </c>
      <c r="K26" s="7">
        <f t="shared" si="2"/>
        <v>-2653542.8571428573</v>
      </c>
      <c r="L26" s="46">
        <f t="shared" si="5"/>
        <v>0.1154857142857143</v>
      </c>
      <c r="M26" s="15">
        <f t="shared" si="3"/>
        <v>0</v>
      </c>
    </row>
    <row r="27" spans="3:13" x14ac:dyDescent="0.25">
      <c r="C27" s="2">
        <v>46006</v>
      </c>
      <c r="D27" s="3">
        <f>AVERAGE(G13:G27)</f>
        <v>10778.666666666666</v>
      </c>
      <c r="E27" s="3">
        <f t="shared" si="0"/>
        <v>323360</v>
      </c>
      <c r="F27" s="2">
        <v>46006</v>
      </c>
      <c r="G27" s="4">
        <f>'PRODUÇAO JOSÉ'!V38</f>
        <v>0</v>
      </c>
      <c r="H27" s="8">
        <f t="shared" si="4"/>
        <v>161680</v>
      </c>
      <c r="I27" s="6">
        <f t="shared" si="1"/>
        <v>5.3893333333333335E-2</v>
      </c>
      <c r="J27" s="9">
        <f>H27/15*30</f>
        <v>323360</v>
      </c>
      <c r="K27" s="7">
        <f t="shared" si="2"/>
        <v>-2676640</v>
      </c>
      <c r="L27" s="46">
        <f t="shared" si="5"/>
        <v>0.10778666666666667</v>
      </c>
      <c r="M27" s="15">
        <f t="shared" si="3"/>
        <v>0</v>
      </c>
    </row>
    <row r="28" spans="3:13" x14ac:dyDescent="0.25">
      <c r="C28" s="2">
        <v>46007</v>
      </c>
      <c r="D28" s="3">
        <f>AVERAGE(G13:G28)</f>
        <v>10105</v>
      </c>
      <c r="E28" s="3">
        <f t="shared" si="0"/>
        <v>303150</v>
      </c>
      <c r="F28" s="2">
        <v>46007</v>
      </c>
      <c r="G28" s="4">
        <f>'PRODUÇAO JOSÉ'!W38</f>
        <v>0</v>
      </c>
      <c r="H28" s="8">
        <f t="shared" si="4"/>
        <v>161680</v>
      </c>
      <c r="I28" s="6">
        <f t="shared" si="1"/>
        <v>5.3893333333333335E-2</v>
      </c>
      <c r="J28" s="9">
        <f>H28/16*30</f>
        <v>303150</v>
      </c>
      <c r="K28" s="7">
        <f t="shared" si="2"/>
        <v>-2696850</v>
      </c>
      <c r="L28" s="46">
        <f t="shared" si="5"/>
        <v>0.10105</v>
      </c>
      <c r="M28" s="15">
        <f t="shared" si="3"/>
        <v>0</v>
      </c>
    </row>
    <row r="29" spans="3:13" x14ac:dyDescent="0.25">
      <c r="C29" s="2">
        <v>46008</v>
      </c>
      <c r="D29" s="3">
        <f>AVERAGE(G13:G29)</f>
        <v>9510.5882352941171</v>
      </c>
      <c r="E29" s="3">
        <f t="shared" si="0"/>
        <v>285317.6470588235</v>
      </c>
      <c r="F29" s="2">
        <v>46008</v>
      </c>
      <c r="G29" s="4">
        <f>'PRODUÇAO JOSÉ'!X38</f>
        <v>0</v>
      </c>
      <c r="H29" s="8">
        <f t="shared" si="4"/>
        <v>161680</v>
      </c>
      <c r="I29" s="6">
        <f t="shared" si="1"/>
        <v>5.3893333333333335E-2</v>
      </c>
      <c r="J29" s="9">
        <f>H29/17*30</f>
        <v>285317.6470588235</v>
      </c>
      <c r="K29" s="7">
        <f t="shared" si="2"/>
        <v>-2714682.3529411764</v>
      </c>
      <c r="L29" s="46">
        <f t="shared" si="5"/>
        <v>9.5105882352941165E-2</v>
      </c>
      <c r="M29" s="15">
        <f t="shared" si="3"/>
        <v>0</v>
      </c>
    </row>
    <row r="30" spans="3:13" x14ac:dyDescent="0.25">
      <c r="C30" s="2">
        <v>46009</v>
      </c>
      <c r="D30" s="3">
        <f>AVERAGE(G13:G30)</f>
        <v>8982.2222222222226</v>
      </c>
      <c r="E30" s="3">
        <f t="shared" si="0"/>
        <v>269466.66666666669</v>
      </c>
      <c r="F30" s="2">
        <v>46009</v>
      </c>
      <c r="G30" s="4">
        <f>'PRODUÇAO JOSÉ'!Y38</f>
        <v>0</v>
      </c>
      <c r="H30" s="8">
        <f t="shared" si="4"/>
        <v>161680</v>
      </c>
      <c r="I30" s="6">
        <f t="shared" si="1"/>
        <v>5.3893333333333335E-2</v>
      </c>
      <c r="J30" s="9">
        <f>H30/18*30</f>
        <v>269466.66666666669</v>
      </c>
      <c r="K30" s="7">
        <f t="shared" si="2"/>
        <v>-2730533.3333333335</v>
      </c>
      <c r="L30" s="46">
        <f t="shared" si="5"/>
        <v>8.9822222222222234E-2</v>
      </c>
      <c r="M30" s="15">
        <f t="shared" si="3"/>
        <v>0</v>
      </c>
    </row>
    <row r="31" spans="3:13" x14ac:dyDescent="0.25">
      <c r="C31" s="2">
        <v>46010</v>
      </c>
      <c r="D31" s="3">
        <f>AVERAGE(G13:G31)</f>
        <v>8509.4736842105267</v>
      </c>
      <c r="E31" s="3">
        <f t="shared" si="0"/>
        <v>255284.21052631579</v>
      </c>
      <c r="F31" s="2">
        <v>46010</v>
      </c>
      <c r="G31" s="4">
        <f>'PRODUÇAO JOSÉ'!Z38</f>
        <v>0</v>
      </c>
      <c r="H31" s="8">
        <f t="shared" si="4"/>
        <v>161680</v>
      </c>
      <c r="I31" s="6">
        <f t="shared" si="1"/>
        <v>5.3893333333333335E-2</v>
      </c>
      <c r="J31" s="9">
        <f>H31/19*30</f>
        <v>255284.21052631579</v>
      </c>
      <c r="K31" s="7">
        <f t="shared" si="2"/>
        <v>-2744715.789473684</v>
      </c>
      <c r="L31" s="46">
        <f t="shared" si="5"/>
        <v>8.5094736842105265E-2</v>
      </c>
      <c r="M31" s="15">
        <f t="shared" si="3"/>
        <v>0</v>
      </c>
    </row>
    <row r="32" spans="3:13" x14ac:dyDescent="0.25">
      <c r="C32" s="2">
        <v>46011</v>
      </c>
      <c r="D32" s="3">
        <f>AVERAGE(G13:G32)</f>
        <v>8084</v>
      </c>
      <c r="E32" s="3">
        <f t="shared" si="0"/>
        <v>242520</v>
      </c>
      <c r="F32" s="2">
        <v>46011</v>
      </c>
      <c r="G32" s="4">
        <f>'PRODUÇAO JOSÉ'!AA38</f>
        <v>0</v>
      </c>
      <c r="H32" s="8">
        <f t="shared" si="4"/>
        <v>161680</v>
      </c>
      <c r="I32" s="6">
        <f t="shared" si="1"/>
        <v>5.3893333333333335E-2</v>
      </c>
      <c r="J32" s="9">
        <f>H32/20*30</f>
        <v>242520</v>
      </c>
      <c r="K32" s="7">
        <f t="shared" si="2"/>
        <v>-2757480</v>
      </c>
      <c r="L32" s="46">
        <f t="shared" si="5"/>
        <v>8.0839999999999995E-2</v>
      </c>
      <c r="M32" s="15">
        <f t="shared" si="3"/>
        <v>0</v>
      </c>
    </row>
    <row r="33" spans="3:13" x14ac:dyDescent="0.25">
      <c r="C33" s="2">
        <v>46012</v>
      </c>
      <c r="D33" s="3">
        <f>AVERAGE(G13:G33)</f>
        <v>7699.0476190476193</v>
      </c>
      <c r="E33" s="3">
        <f t="shared" si="0"/>
        <v>230971.42857142858</v>
      </c>
      <c r="F33" s="2">
        <v>46012</v>
      </c>
      <c r="G33" s="4">
        <f>'PRODUÇAO JOSÉ'!AB38</f>
        <v>0</v>
      </c>
      <c r="H33" s="8">
        <f t="shared" si="4"/>
        <v>161680</v>
      </c>
      <c r="I33" s="6">
        <f t="shared" si="1"/>
        <v>5.3893333333333335E-2</v>
      </c>
      <c r="J33" s="9">
        <f>H33/21*30</f>
        <v>230971.42857142858</v>
      </c>
      <c r="K33" s="7">
        <f t="shared" si="2"/>
        <v>-2769028.5714285714</v>
      </c>
      <c r="L33" s="46">
        <f t="shared" si="5"/>
        <v>7.6990476190476193E-2</v>
      </c>
      <c r="M33" s="15">
        <f t="shared" si="3"/>
        <v>0</v>
      </c>
    </row>
    <row r="34" spans="3:13" x14ac:dyDescent="0.25">
      <c r="C34" s="2">
        <v>46013</v>
      </c>
      <c r="D34" s="3">
        <f>AVERAGE(G13:G34)</f>
        <v>7349.090909090909</v>
      </c>
      <c r="E34" s="3">
        <f t="shared" si="0"/>
        <v>220472.72727272726</v>
      </c>
      <c r="F34" s="2">
        <v>46013</v>
      </c>
      <c r="G34" s="4">
        <f>'PRODUÇAO JOSÉ'!AC38</f>
        <v>0</v>
      </c>
      <c r="H34" s="8">
        <f t="shared" si="4"/>
        <v>161680</v>
      </c>
      <c r="I34" s="6">
        <f t="shared" si="1"/>
        <v>5.3893333333333335E-2</v>
      </c>
      <c r="J34" s="9">
        <f>H34/22*30</f>
        <v>220472.72727272726</v>
      </c>
      <c r="K34" s="7">
        <f t="shared" si="2"/>
        <v>-2779527.2727272729</v>
      </c>
      <c r="L34" s="46">
        <f t="shared" si="5"/>
        <v>7.3490909090909093E-2</v>
      </c>
      <c r="M34" s="15">
        <f t="shared" si="3"/>
        <v>0</v>
      </c>
    </row>
    <row r="35" spans="3:13" x14ac:dyDescent="0.25">
      <c r="C35" s="2">
        <v>46014</v>
      </c>
      <c r="D35" s="3">
        <f>AVERAGE(G13:G35)</f>
        <v>7029.565217391304</v>
      </c>
      <c r="E35" s="3">
        <f t="shared" si="0"/>
        <v>210886.95652173914</v>
      </c>
      <c r="F35" s="2">
        <v>46014</v>
      </c>
      <c r="G35" s="4">
        <f>'PRODUÇAO JOSÉ'!AD38</f>
        <v>0</v>
      </c>
      <c r="H35" s="8">
        <f t="shared" si="4"/>
        <v>161680</v>
      </c>
      <c r="I35" s="6">
        <f t="shared" si="1"/>
        <v>5.3893333333333335E-2</v>
      </c>
      <c r="J35" s="9">
        <f>H35/23*30</f>
        <v>210886.95652173914</v>
      </c>
      <c r="K35" s="7">
        <f t="shared" si="2"/>
        <v>-2789113.0434782607</v>
      </c>
      <c r="L35" s="46">
        <f t="shared" si="5"/>
        <v>7.0295652173913051E-2</v>
      </c>
      <c r="M35" s="15">
        <f t="shared" si="3"/>
        <v>0</v>
      </c>
    </row>
    <row r="36" spans="3:13" x14ac:dyDescent="0.25">
      <c r="C36" s="2">
        <v>46015</v>
      </c>
      <c r="D36" s="3">
        <f>AVERAGE(G13:G36)</f>
        <v>6736.666666666667</v>
      </c>
      <c r="E36" s="3">
        <f t="shared" si="0"/>
        <v>202100</v>
      </c>
      <c r="F36" s="2">
        <v>46015</v>
      </c>
      <c r="G36" s="4">
        <f>'PRODUÇAO JOSÉ'!AE38</f>
        <v>0</v>
      </c>
      <c r="H36" s="8">
        <f t="shared" si="4"/>
        <v>161680</v>
      </c>
      <c r="I36" s="6">
        <f t="shared" si="1"/>
        <v>5.3893333333333335E-2</v>
      </c>
      <c r="J36" s="9">
        <f>H36/24*30</f>
        <v>202100</v>
      </c>
      <c r="K36" s="7">
        <f t="shared" si="2"/>
        <v>-2797900</v>
      </c>
      <c r="L36" s="46">
        <f t="shared" si="5"/>
        <v>6.7366666666666672E-2</v>
      </c>
      <c r="M36" s="15">
        <f t="shared" si="3"/>
        <v>0</v>
      </c>
    </row>
    <row r="37" spans="3:13" x14ac:dyDescent="0.25">
      <c r="C37" s="2">
        <v>46016</v>
      </c>
      <c r="D37" s="3">
        <f>AVERAGE(G13:G37)</f>
        <v>6467.2</v>
      </c>
      <c r="E37" s="3">
        <f t="shared" si="0"/>
        <v>194016</v>
      </c>
      <c r="F37" s="2">
        <v>46016</v>
      </c>
      <c r="G37" s="4">
        <f>'PRODUÇAO JOSÉ'!AF38</f>
        <v>0</v>
      </c>
      <c r="H37" s="8">
        <f t="shared" si="4"/>
        <v>161680</v>
      </c>
      <c r="I37" s="6">
        <f t="shared" si="1"/>
        <v>5.3893333333333335E-2</v>
      </c>
      <c r="J37" s="9">
        <f>H37/25*30</f>
        <v>194016</v>
      </c>
      <c r="K37" s="7">
        <f t="shared" si="2"/>
        <v>-2805984</v>
      </c>
      <c r="L37" s="46">
        <f t="shared" si="5"/>
        <v>6.4671999999999993E-2</v>
      </c>
      <c r="M37" s="15">
        <f t="shared" si="3"/>
        <v>0</v>
      </c>
    </row>
    <row r="38" spans="3:13" x14ac:dyDescent="0.25">
      <c r="C38" s="2">
        <v>46017</v>
      </c>
      <c r="D38" s="3">
        <f>AVERAGE(G13:G38)</f>
        <v>6218.4615384615381</v>
      </c>
      <c r="E38" s="3">
        <f t="shared" si="0"/>
        <v>186553.84615384616</v>
      </c>
      <c r="F38" s="2">
        <v>46017</v>
      </c>
      <c r="G38" s="4">
        <f>'PRODUÇAO JOSÉ'!AG38</f>
        <v>0</v>
      </c>
      <c r="H38" s="8">
        <f t="shared" si="4"/>
        <v>161680</v>
      </c>
      <c r="I38" s="6">
        <f t="shared" si="1"/>
        <v>5.3893333333333335E-2</v>
      </c>
      <c r="J38" s="9">
        <f>H38/26*30</f>
        <v>186553.84615384616</v>
      </c>
      <c r="K38" s="7">
        <f t="shared" si="2"/>
        <v>-2813446.153846154</v>
      </c>
      <c r="L38" s="46">
        <f t="shared" si="5"/>
        <v>6.2184615384615387E-2</v>
      </c>
      <c r="M38" s="15">
        <f t="shared" si="3"/>
        <v>0</v>
      </c>
    </row>
    <row r="39" spans="3:13" x14ac:dyDescent="0.25">
      <c r="C39" s="2">
        <v>46018</v>
      </c>
      <c r="D39" s="3">
        <f>AVERAGE(G13:G39)</f>
        <v>5988.1481481481478</v>
      </c>
      <c r="E39" s="3">
        <f t="shared" si="0"/>
        <v>179644.44444444444</v>
      </c>
      <c r="F39" s="2">
        <v>46018</v>
      </c>
      <c r="G39" s="4">
        <f>'PRODUÇAO JOSÉ'!AH38</f>
        <v>0</v>
      </c>
      <c r="H39" s="8">
        <f t="shared" si="4"/>
        <v>161680</v>
      </c>
      <c r="I39" s="6">
        <f t="shared" si="1"/>
        <v>5.3893333333333335E-2</v>
      </c>
      <c r="J39" s="9">
        <f>H39/27*30</f>
        <v>179644.44444444444</v>
      </c>
      <c r="K39" s="7">
        <f t="shared" si="2"/>
        <v>-2820355.5555555555</v>
      </c>
      <c r="L39" s="46">
        <f t="shared" si="5"/>
        <v>5.988148148148148E-2</v>
      </c>
      <c r="M39" s="15">
        <f t="shared" si="3"/>
        <v>0</v>
      </c>
    </row>
    <row r="40" spans="3:13" x14ac:dyDescent="0.25">
      <c r="C40" s="2">
        <v>46019</v>
      </c>
      <c r="D40" s="3">
        <f>AVERAGE(G13:G40)</f>
        <v>5774.2857142857147</v>
      </c>
      <c r="E40" s="3">
        <f t="shared" si="0"/>
        <v>173228.57142857145</v>
      </c>
      <c r="F40" s="2">
        <v>46019</v>
      </c>
      <c r="G40" s="4">
        <f>'PRODUÇAO JOSÉ'!AI38</f>
        <v>0</v>
      </c>
      <c r="H40" s="8">
        <f t="shared" si="4"/>
        <v>161680</v>
      </c>
      <c r="I40" s="6">
        <f t="shared" si="1"/>
        <v>5.3893333333333335E-2</v>
      </c>
      <c r="J40" s="9">
        <f>H40/28*30</f>
        <v>173228.57142857145</v>
      </c>
      <c r="K40" s="7">
        <f t="shared" si="2"/>
        <v>-2826771.4285714286</v>
      </c>
      <c r="L40" s="46">
        <f t="shared" si="5"/>
        <v>5.7742857142857151E-2</v>
      </c>
      <c r="M40" s="15">
        <f t="shared" si="3"/>
        <v>0</v>
      </c>
    </row>
    <row r="41" spans="3:13" x14ac:dyDescent="0.25">
      <c r="C41" s="2">
        <v>46020</v>
      </c>
      <c r="D41" s="3">
        <f>AVERAGE(G13:G41)</f>
        <v>5575.1724137931033</v>
      </c>
      <c r="E41" s="3">
        <f t="shared" si="0"/>
        <v>167255.1724137931</v>
      </c>
      <c r="F41" s="2">
        <v>46020</v>
      </c>
      <c r="G41" s="4">
        <f>'PRODUÇAO JOSÉ'!AJ38</f>
        <v>0</v>
      </c>
      <c r="H41" s="8">
        <f t="shared" si="4"/>
        <v>161680</v>
      </c>
      <c r="I41" s="6">
        <f t="shared" si="1"/>
        <v>5.3893333333333335E-2</v>
      </c>
      <c r="J41" s="9">
        <f>H41/29*30</f>
        <v>167255.1724137931</v>
      </c>
      <c r="K41" s="7">
        <f t="shared" si="2"/>
        <v>-2832744.8275862071</v>
      </c>
      <c r="L41" s="46">
        <f t="shared" si="5"/>
        <v>5.5751724137931037E-2</v>
      </c>
      <c r="M41" s="15">
        <f t="shared" si="3"/>
        <v>0</v>
      </c>
    </row>
    <row r="42" spans="3:13" x14ac:dyDescent="0.25">
      <c r="C42" s="2">
        <v>46021</v>
      </c>
      <c r="D42" s="3">
        <f>AVERAGE(G13:G42)</f>
        <v>5389.333333333333</v>
      </c>
      <c r="E42" s="3">
        <f t="shared" si="0"/>
        <v>161680</v>
      </c>
      <c r="F42" s="2">
        <v>46021</v>
      </c>
      <c r="G42" s="4">
        <f>'PRODUÇAO JOSÉ'!AK38</f>
        <v>0</v>
      </c>
      <c r="H42" s="8">
        <f t="shared" si="4"/>
        <v>161680</v>
      </c>
      <c r="I42" s="6">
        <f t="shared" si="1"/>
        <v>5.3893333333333335E-2</v>
      </c>
      <c r="J42" s="9">
        <f>H42/31*31</f>
        <v>161680</v>
      </c>
      <c r="K42" s="7">
        <f t="shared" si="2"/>
        <v>-2838320</v>
      </c>
      <c r="L42" s="46">
        <f t="shared" si="5"/>
        <v>5.3893333333333335E-2</v>
      </c>
      <c r="M42" s="15">
        <f t="shared" si="3"/>
        <v>0</v>
      </c>
    </row>
    <row r="43" spans="3:13" x14ac:dyDescent="0.25">
      <c r="C43" s="2">
        <v>46022</v>
      </c>
      <c r="D43" s="3">
        <f>AVERAGE(D13:D42)</f>
        <v>9555.4876812773309</v>
      </c>
      <c r="E43" s="3">
        <f>D43*31</f>
        <v>296220.11811959726</v>
      </c>
      <c r="F43" s="2">
        <v>46022</v>
      </c>
      <c r="G43" s="4">
        <f>'PRODUÇAO JOSÉ'!AL38</f>
        <v>0</v>
      </c>
      <c r="H43" s="65">
        <f t="shared" si="4"/>
        <v>161680</v>
      </c>
      <c r="I43" s="66">
        <f t="shared" si="1"/>
        <v>5.3893333333333335E-2</v>
      </c>
      <c r="J43" s="64">
        <f>H43/30*30</f>
        <v>161680</v>
      </c>
      <c r="K43" s="7">
        <f t="shared" si="2"/>
        <v>-2838320</v>
      </c>
      <c r="L43" s="67">
        <f t="shared" si="5"/>
        <v>5.3893333333333335E-2</v>
      </c>
      <c r="M43" s="15">
        <f t="shared" si="3"/>
        <v>0</v>
      </c>
    </row>
  </sheetData>
  <mergeCells count="1">
    <mergeCell ref="C4:K4"/>
  </mergeCells>
  <conditionalFormatting sqref="K1:K3 K6:K11 K44:K1048576">
    <cfRule type="cellIs" dxfId="3" priority="4" stopIfTrue="1" operator="greaterThan">
      <formula>100675.95</formula>
    </cfRule>
  </conditionalFormatting>
  <conditionalFormatting sqref="K13:K43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6D288-027C-438B-9C3E-4F599A0DF3C8}">
  <sheetPr>
    <tabColor rgb="FFFFFF00"/>
  </sheetPr>
  <dimension ref="A4:AT39"/>
  <sheetViews>
    <sheetView topLeftCell="A16" workbookViewId="0">
      <pane xSplit="1" topLeftCell="H1" activePane="topRight" state="frozen"/>
      <selection pane="topRight" activeCell="R33" sqref="R33"/>
    </sheetView>
  </sheetViews>
  <sheetFormatPr defaultRowHeight="15" x14ac:dyDescent="0.25"/>
  <cols>
    <col min="1" max="1" width="47.5703125" style="33" bestFit="1" customWidth="1"/>
    <col min="2" max="2" width="21.140625" style="33" bestFit="1" customWidth="1"/>
    <col min="3" max="3" width="15" style="33" bestFit="1" customWidth="1"/>
    <col min="4" max="4" width="0.5703125" style="33" hidden="1" customWidth="1"/>
    <col min="5" max="5" width="0.140625" style="33" hidden="1" customWidth="1"/>
    <col min="6" max="6" width="22.140625" style="34" hidden="1" customWidth="1"/>
    <col min="7" max="7" width="26.85546875" style="34" hidden="1" customWidth="1"/>
    <col min="8" max="8" width="14.5703125" bestFit="1" customWidth="1"/>
    <col min="9" max="10" width="15.28515625" bestFit="1" customWidth="1"/>
    <col min="11" max="12" width="15.7109375" bestFit="1" customWidth="1"/>
    <col min="13" max="13" width="14.5703125" bestFit="1" customWidth="1"/>
    <col min="14" max="14" width="15.28515625" bestFit="1" customWidth="1"/>
    <col min="15" max="15" width="15.7109375" bestFit="1" customWidth="1"/>
    <col min="16" max="16" width="14.5703125" bestFit="1" customWidth="1"/>
    <col min="17" max="17" width="15.7109375" bestFit="1" customWidth="1"/>
    <col min="18" max="18" width="14.5703125" bestFit="1" customWidth="1"/>
    <col min="19" max="22" width="15.7109375" bestFit="1" customWidth="1"/>
    <col min="23" max="23" width="14.5703125" bestFit="1" customWidth="1"/>
    <col min="24" max="31" width="15.7109375" bestFit="1" customWidth="1"/>
    <col min="32" max="32" width="14.5703125" bestFit="1" customWidth="1"/>
    <col min="33" max="33" width="15.7109375" bestFit="1" customWidth="1"/>
    <col min="34" max="34" width="14.5703125" bestFit="1" customWidth="1"/>
    <col min="35" max="37" width="15.7109375" bestFit="1" customWidth="1"/>
    <col min="38" max="38" width="15.7109375" customWidth="1"/>
    <col min="39" max="39" width="17.5703125" bestFit="1" customWidth="1"/>
    <col min="40" max="40" width="14.5703125" bestFit="1" customWidth="1"/>
    <col min="41" max="41" width="15.7109375" bestFit="1" customWidth="1"/>
  </cols>
  <sheetData>
    <row r="4" spans="1:46" ht="21" x14ac:dyDescent="0.35">
      <c r="A4" s="25" t="s">
        <v>18</v>
      </c>
      <c r="B4" s="25" t="s">
        <v>19</v>
      </c>
      <c r="C4" s="25" t="s">
        <v>20</v>
      </c>
      <c r="D4" s="25" t="s">
        <v>21</v>
      </c>
      <c r="E4" s="25" t="s">
        <v>22</v>
      </c>
      <c r="F4" s="25" t="s">
        <v>23</v>
      </c>
      <c r="G4" s="25" t="s">
        <v>24</v>
      </c>
      <c r="H4" s="36">
        <v>45992</v>
      </c>
      <c r="I4" s="36">
        <v>45993</v>
      </c>
      <c r="J4" s="36">
        <v>45994</v>
      </c>
      <c r="K4" s="36">
        <v>45995</v>
      </c>
      <c r="L4" s="36">
        <v>45996</v>
      </c>
      <c r="M4" s="36">
        <v>45997</v>
      </c>
      <c r="N4" s="36">
        <v>45998</v>
      </c>
      <c r="O4" s="36">
        <v>45999</v>
      </c>
      <c r="P4" s="36">
        <v>46000</v>
      </c>
      <c r="Q4" s="36">
        <v>46001</v>
      </c>
      <c r="R4" s="36">
        <v>46002</v>
      </c>
      <c r="S4" s="36">
        <v>46003</v>
      </c>
      <c r="T4" s="36">
        <v>46004</v>
      </c>
      <c r="U4" s="36">
        <v>46005</v>
      </c>
      <c r="V4" s="36">
        <v>46006</v>
      </c>
      <c r="W4" s="36">
        <v>46007</v>
      </c>
      <c r="X4" s="36">
        <v>46008</v>
      </c>
      <c r="Y4" s="36">
        <v>46009</v>
      </c>
      <c r="Z4" s="36">
        <v>46010</v>
      </c>
      <c r="AA4" s="36">
        <v>46011</v>
      </c>
      <c r="AB4" s="36">
        <v>46012</v>
      </c>
      <c r="AC4" s="36">
        <v>46013</v>
      </c>
      <c r="AD4" s="36">
        <v>46014</v>
      </c>
      <c r="AE4" s="36">
        <v>46015</v>
      </c>
      <c r="AF4" s="36">
        <v>46016</v>
      </c>
      <c r="AG4" s="36">
        <v>46017</v>
      </c>
      <c r="AH4" s="36">
        <v>46018</v>
      </c>
      <c r="AI4" s="36">
        <v>46019</v>
      </c>
      <c r="AJ4" s="36">
        <v>46020</v>
      </c>
      <c r="AK4" s="36">
        <v>46021</v>
      </c>
      <c r="AL4" s="36">
        <v>46022</v>
      </c>
      <c r="AM4" s="39" t="s">
        <v>13</v>
      </c>
      <c r="AN4" s="39" t="s">
        <v>209</v>
      </c>
      <c r="AO4" s="39" t="s">
        <v>210</v>
      </c>
      <c r="AP4" s="24" t="s">
        <v>9</v>
      </c>
      <c r="AQ4" s="24" t="s">
        <v>9</v>
      </c>
      <c r="AR4" s="24" t="s">
        <v>9</v>
      </c>
      <c r="AS4" s="24" t="s">
        <v>9</v>
      </c>
      <c r="AT4" s="24" t="s">
        <v>9</v>
      </c>
    </row>
    <row r="5" spans="1:46" ht="21" x14ac:dyDescent="0.35">
      <c r="A5" s="26" t="s">
        <v>32</v>
      </c>
      <c r="B5" s="27" t="s">
        <v>33</v>
      </c>
      <c r="C5" s="31" t="s">
        <v>135</v>
      </c>
      <c r="D5" s="27" t="s">
        <v>28</v>
      </c>
      <c r="E5" s="27" t="s">
        <v>29</v>
      </c>
      <c r="F5" s="27" t="s">
        <v>30</v>
      </c>
      <c r="G5" s="69" t="s">
        <v>31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40">
        <f>SUM(H5:AL5)</f>
        <v>0</v>
      </c>
      <c r="AN5" s="40" t="e">
        <f>AVERAGE(H5:AK5)</f>
        <v>#DIV/0!</v>
      </c>
      <c r="AO5" s="40">
        <f>AM5*8.5%</f>
        <v>0</v>
      </c>
    </row>
    <row r="6" spans="1:46" ht="21" x14ac:dyDescent="0.35">
      <c r="A6" s="26" t="s">
        <v>38</v>
      </c>
      <c r="B6" s="27" t="s">
        <v>39</v>
      </c>
      <c r="C6" s="28" t="s">
        <v>34</v>
      </c>
      <c r="D6" s="27" t="s">
        <v>35</v>
      </c>
      <c r="E6" s="27" t="s">
        <v>36</v>
      </c>
      <c r="F6" s="27" t="s">
        <v>37</v>
      </c>
      <c r="G6" s="69" t="s">
        <v>31</v>
      </c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40">
        <f t="shared" ref="AM6:AM37" si="0">SUM(H6:AL6)</f>
        <v>0</v>
      </c>
      <c r="AN6" s="40" t="e">
        <f t="shared" ref="AN6:AN37" si="1">AVERAGE(H6:AK6)</f>
        <v>#DIV/0!</v>
      </c>
      <c r="AO6" s="40">
        <f t="shared" ref="AO6:AO37" si="2">AM6*8.5%</f>
        <v>0</v>
      </c>
    </row>
    <row r="7" spans="1:46" ht="21" x14ac:dyDescent="0.35">
      <c r="A7" s="26" t="s">
        <v>248</v>
      </c>
      <c r="B7" s="27" t="s">
        <v>249</v>
      </c>
      <c r="C7" s="28" t="s">
        <v>176</v>
      </c>
      <c r="D7" s="29" t="s">
        <v>41</v>
      </c>
      <c r="E7" s="29" t="s">
        <v>42</v>
      </c>
      <c r="F7" s="29" t="s">
        <v>43</v>
      </c>
      <c r="G7" s="70" t="s">
        <v>31</v>
      </c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40">
        <f t="shared" si="0"/>
        <v>0</v>
      </c>
      <c r="AN7" s="40" t="e">
        <f t="shared" si="1"/>
        <v>#DIV/0!</v>
      </c>
      <c r="AO7" s="40">
        <f t="shared" si="2"/>
        <v>0</v>
      </c>
    </row>
    <row r="8" spans="1:46" ht="21" x14ac:dyDescent="0.35">
      <c r="A8" s="26" t="s">
        <v>162</v>
      </c>
      <c r="B8" s="27" t="s">
        <v>163</v>
      </c>
      <c r="C8" s="28" t="s">
        <v>164</v>
      </c>
      <c r="D8" s="27" t="s">
        <v>47</v>
      </c>
      <c r="E8" s="27" t="s">
        <v>48</v>
      </c>
      <c r="F8" s="27" t="s">
        <v>49</v>
      </c>
      <c r="G8" s="69" t="s">
        <v>31</v>
      </c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40">
        <f t="shared" si="0"/>
        <v>0</v>
      </c>
      <c r="AN8" s="40" t="e">
        <f t="shared" si="1"/>
        <v>#DIV/0!</v>
      </c>
      <c r="AO8" s="40">
        <f t="shared" si="2"/>
        <v>0</v>
      </c>
    </row>
    <row r="9" spans="1:46" ht="21" x14ac:dyDescent="0.35">
      <c r="A9" s="26" t="s">
        <v>139</v>
      </c>
      <c r="B9" s="27" t="s">
        <v>140</v>
      </c>
      <c r="C9" s="28" t="s">
        <v>141</v>
      </c>
      <c r="D9" s="27" t="s">
        <v>53</v>
      </c>
      <c r="E9" s="27" t="s">
        <v>54</v>
      </c>
      <c r="F9" s="29" t="s">
        <v>55</v>
      </c>
      <c r="G9" s="70" t="s">
        <v>31</v>
      </c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40">
        <f t="shared" si="0"/>
        <v>0</v>
      </c>
      <c r="AN9" s="40" t="e">
        <f t="shared" si="1"/>
        <v>#DIV/0!</v>
      </c>
      <c r="AO9" s="40">
        <f t="shared" si="2"/>
        <v>0</v>
      </c>
    </row>
    <row r="10" spans="1:46" ht="21" x14ac:dyDescent="0.35">
      <c r="A10" s="27" t="s">
        <v>62</v>
      </c>
      <c r="B10" s="27" t="s">
        <v>63</v>
      </c>
      <c r="C10" s="28" t="s">
        <v>70</v>
      </c>
      <c r="D10" s="29" t="s">
        <v>59</v>
      </c>
      <c r="E10" s="29" t="s">
        <v>60</v>
      </c>
      <c r="F10" s="29" t="s">
        <v>61</v>
      </c>
      <c r="G10" s="70" t="s">
        <v>31</v>
      </c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40">
        <f t="shared" si="0"/>
        <v>0</v>
      </c>
      <c r="AN10" s="40" t="e">
        <f t="shared" si="1"/>
        <v>#DIV/0!</v>
      </c>
      <c r="AO10" s="40">
        <f t="shared" si="2"/>
        <v>0</v>
      </c>
    </row>
    <row r="11" spans="1:46" ht="21" x14ac:dyDescent="0.35">
      <c r="A11" s="26" t="s">
        <v>86</v>
      </c>
      <c r="B11" s="27" t="s">
        <v>87</v>
      </c>
      <c r="C11" s="28" t="s">
        <v>217</v>
      </c>
      <c r="D11" s="27" t="s">
        <v>65</v>
      </c>
      <c r="E11" s="27" t="s">
        <v>66</v>
      </c>
      <c r="F11" s="27" t="s">
        <v>67</v>
      </c>
      <c r="G11" s="69" t="s">
        <v>31</v>
      </c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40">
        <f t="shared" si="0"/>
        <v>0</v>
      </c>
      <c r="AN11" s="40" t="e">
        <f t="shared" si="1"/>
        <v>#DIV/0!</v>
      </c>
      <c r="AO11" s="40">
        <f t="shared" si="2"/>
        <v>0</v>
      </c>
    </row>
    <row r="12" spans="1:46" ht="21" x14ac:dyDescent="0.35">
      <c r="A12" s="26" t="s">
        <v>233</v>
      </c>
      <c r="B12" s="27" t="s">
        <v>234</v>
      </c>
      <c r="C12" s="28" t="s">
        <v>216</v>
      </c>
      <c r="D12" s="29" t="s">
        <v>71</v>
      </c>
      <c r="E12" s="29" t="s">
        <v>72</v>
      </c>
      <c r="F12" s="27" t="s">
        <v>73</v>
      </c>
      <c r="G12" s="69" t="s">
        <v>31</v>
      </c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40">
        <f t="shared" si="0"/>
        <v>0</v>
      </c>
      <c r="AN12" s="40" t="e">
        <f t="shared" si="1"/>
        <v>#DIV/0!</v>
      </c>
      <c r="AO12" s="40">
        <f t="shared" si="2"/>
        <v>0</v>
      </c>
    </row>
    <row r="13" spans="1:46" ht="21" x14ac:dyDescent="0.35">
      <c r="A13" s="83" t="s">
        <v>25</v>
      </c>
      <c r="B13" s="27" t="s">
        <v>26</v>
      </c>
      <c r="C13" s="28" t="s">
        <v>27</v>
      </c>
      <c r="D13" s="29" t="s">
        <v>83</v>
      </c>
      <c r="E13" s="29" t="s">
        <v>84</v>
      </c>
      <c r="F13" s="29" t="s">
        <v>85</v>
      </c>
      <c r="G13" s="69" t="s">
        <v>31</v>
      </c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40">
        <f t="shared" si="0"/>
        <v>0</v>
      </c>
      <c r="AN13" s="40" t="e">
        <f t="shared" si="1"/>
        <v>#DIV/0!</v>
      </c>
      <c r="AO13" s="40">
        <f t="shared" si="2"/>
        <v>0</v>
      </c>
    </row>
    <row r="14" spans="1:46" ht="21" x14ac:dyDescent="0.35">
      <c r="A14" s="26" t="s">
        <v>220</v>
      </c>
      <c r="B14" s="27" t="s">
        <v>221</v>
      </c>
      <c r="C14" s="28" t="s">
        <v>243</v>
      </c>
      <c r="D14" s="29" t="s">
        <v>89</v>
      </c>
      <c r="E14" s="27" t="s">
        <v>90</v>
      </c>
      <c r="F14" s="27" t="s">
        <v>91</v>
      </c>
      <c r="G14" s="69" t="s">
        <v>31</v>
      </c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40">
        <f t="shared" si="0"/>
        <v>0</v>
      </c>
      <c r="AN14" s="40" t="e">
        <f t="shared" si="1"/>
        <v>#DIV/0!</v>
      </c>
      <c r="AO14" s="40">
        <f t="shared" si="2"/>
        <v>0</v>
      </c>
    </row>
    <row r="15" spans="1:46" ht="21" x14ac:dyDescent="0.35">
      <c r="A15" s="37" t="s">
        <v>56</v>
      </c>
      <c r="B15" s="27" t="s">
        <v>57</v>
      </c>
      <c r="C15" s="31" t="s">
        <v>58</v>
      </c>
      <c r="D15" s="29" t="s">
        <v>108</v>
      </c>
      <c r="E15" s="29" t="s">
        <v>109</v>
      </c>
      <c r="F15" s="29" t="s">
        <v>110</v>
      </c>
      <c r="G15" s="70" t="s">
        <v>104</v>
      </c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40">
        <f t="shared" si="0"/>
        <v>0</v>
      </c>
      <c r="AN15" s="40" t="e">
        <f t="shared" si="1"/>
        <v>#DIV/0!</v>
      </c>
      <c r="AO15" s="40">
        <f t="shared" si="2"/>
        <v>0</v>
      </c>
    </row>
    <row r="16" spans="1:46" ht="21" x14ac:dyDescent="0.35">
      <c r="A16" s="26" t="s">
        <v>74</v>
      </c>
      <c r="B16" s="27" t="s">
        <v>75</v>
      </c>
      <c r="C16" s="28" t="s">
        <v>219</v>
      </c>
      <c r="D16" s="27" t="s">
        <v>112</v>
      </c>
      <c r="E16" s="27" t="s">
        <v>113</v>
      </c>
      <c r="F16" s="27" t="s">
        <v>114</v>
      </c>
      <c r="G16" s="69" t="s">
        <v>104</v>
      </c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40">
        <f t="shared" si="0"/>
        <v>0</v>
      </c>
      <c r="AN16" s="40" t="e">
        <f t="shared" si="1"/>
        <v>#DIV/0!</v>
      </c>
      <c r="AO16" s="40">
        <f t="shared" si="2"/>
        <v>0</v>
      </c>
    </row>
    <row r="17" spans="1:41" ht="21" x14ac:dyDescent="0.35">
      <c r="A17" s="26" t="s">
        <v>105</v>
      </c>
      <c r="B17" s="27" t="s">
        <v>106</v>
      </c>
      <c r="C17" s="28" t="s">
        <v>107</v>
      </c>
      <c r="D17" s="27" t="s">
        <v>124</v>
      </c>
      <c r="E17" s="27" t="s">
        <v>125</v>
      </c>
      <c r="F17" s="27" t="s">
        <v>126</v>
      </c>
      <c r="G17" s="69" t="s">
        <v>104</v>
      </c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40">
        <f t="shared" si="0"/>
        <v>0</v>
      </c>
      <c r="AN17" s="40" t="e">
        <f t="shared" si="1"/>
        <v>#DIV/0!</v>
      </c>
      <c r="AO17" s="40">
        <f t="shared" si="2"/>
        <v>0</v>
      </c>
    </row>
    <row r="18" spans="1:41" ht="21" x14ac:dyDescent="0.35">
      <c r="A18" s="84" t="s">
        <v>115</v>
      </c>
      <c r="B18" s="85" t="s">
        <v>116</v>
      </c>
      <c r="C18" s="86" t="s">
        <v>117</v>
      </c>
      <c r="D18" s="27" t="s">
        <v>130</v>
      </c>
      <c r="E18" s="27" t="s">
        <v>131</v>
      </c>
      <c r="F18" s="27" t="s">
        <v>132</v>
      </c>
      <c r="G18" s="69" t="s">
        <v>104</v>
      </c>
      <c r="H18" s="68"/>
      <c r="I18" s="68"/>
      <c r="J18" s="87"/>
      <c r="K18" s="87">
        <v>22000</v>
      </c>
      <c r="L18" s="87"/>
      <c r="M18" s="87">
        <v>12000</v>
      </c>
      <c r="N18" s="87"/>
      <c r="O18" s="87"/>
      <c r="P18" s="87"/>
      <c r="Q18" s="87">
        <v>20000</v>
      </c>
      <c r="R18" s="87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40">
        <f t="shared" si="0"/>
        <v>54000</v>
      </c>
      <c r="AN18" s="40">
        <f t="shared" si="1"/>
        <v>18000</v>
      </c>
      <c r="AO18" s="40">
        <f t="shared" si="2"/>
        <v>4590</v>
      </c>
    </row>
    <row r="19" spans="1:41" ht="21" x14ac:dyDescent="0.35">
      <c r="A19" s="26" t="s">
        <v>80</v>
      </c>
      <c r="B19" s="27" t="s">
        <v>81</v>
      </c>
      <c r="C19" s="28" t="s">
        <v>82</v>
      </c>
      <c r="D19" s="27" t="s">
        <v>136</v>
      </c>
      <c r="E19" s="27" t="s">
        <v>137</v>
      </c>
      <c r="F19" s="29" t="s">
        <v>138</v>
      </c>
      <c r="G19" s="70" t="s">
        <v>104</v>
      </c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40">
        <f t="shared" si="0"/>
        <v>0</v>
      </c>
      <c r="AN19" s="40" t="e">
        <f t="shared" si="1"/>
        <v>#DIV/0!</v>
      </c>
      <c r="AO19" s="40">
        <f t="shared" si="2"/>
        <v>0</v>
      </c>
    </row>
    <row r="20" spans="1:41" ht="21" x14ac:dyDescent="0.35">
      <c r="A20" s="26" t="s">
        <v>121</v>
      </c>
      <c r="B20" s="27" t="s">
        <v>122</v>
      </c>
      <c r="C20" s="28" t="s">
        <v>123</v>
      </c>
      <c r="D20" s="27" t="s">
        <v>142</v>
      </c>
      <c r="E20" s="27" t="s">
        <v>143</v>
      </c>
      <c r="F20" s="27" t="s">
        <v>144</v>
      </c>
      <c r="G20" s="69" t="s">
        <v>104</v>
      </c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40">
        <f t="shared" si="0"/>
        <v>0</v>
      </c>
      <c r="AN20" s="40" t="e">
        <f t="shared" si="1"/>
        <v>#DIV/0!</v>
      </c>
      <c r="AO20" s="40">
        <f t="shared" si="2"/>
        <v>0</v>
      </c>
    </row>
    <row r="21" spans="1:41" ht="21" x14ac:dyDescent="0.35">
      <c r="A21" s="27" t="s">
        <v>180</v>
      </c>
      <c r="B21" s="27" t="s">
        <v>181</v>
      </c>
      <c r="C21" s="28" t="s">
        <v>182</v>
      </c>
      <c r="D21" s="27" t="s">
        <v>159</v>
      </c>
      <c r="E21" s="27" t="s">
        <v>160</v>
      </c>
      <c r="F21" s="27" t="s">
        <v>161</v>
      </c>
      <c r="G21" s="69" t="s">
        <v>104</v>
      </c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40">
        <f t="shared" si="0"/>
        <v>0</v>
      </c>
      <c r="AN21" s="40" t="e">
        <f t="shared" si="1"/>
        <v>#DIV/0!</v>
      </c>
      <c r="AO21" s="40">
        <f t="shared" si="2"/>
        <v>0</v>
      </c>
    </row>
    <row r="22" spans="1:41" ht="21" x14ac:dyDescent="0.35">
      <c r="A22" s="30" t="s">
        <v>50</v>
      </c>
      <c r="B22" s="29" t="s">
        <v>51</v>
      </c>
      <c r="C22" s="31" t="s">
        <v>52</v>
      </c>
      <c r="D22" s="27" t="s">
        <v>165</v>
      </c>
      <c r="E22" s="27" t="s">
        <v>166</v>
      </c>
      <c r="F22" s="27" t="s">
        <v>167</v>
      </c>
      <c r="G22" s="69" t="s">
        <v>104</v>
      </c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40">
        <f t="shared" si="0"/>
        <v>0</v>
      </c>
      <c r="AN22" s="40" t="e">
        <f t="shared" si="1"/>
        <v>#DIV/0!</v>
      </c>
      <c r="AO22" s="40">
        <f t="shared" si="2"/>
        <v>0</v>
      </c>
    </row>
    <row r="23" spans="1:41" ht="21" x14ac:dyDescent="0.35">
      <c r="A23" s="26" t="s">
        <v>168</v>
      </c>
      <c r="B23" s="27" t="s">
        <v>169</v>
      </c>
      <c r="C23" s="28" t="s">
        <v>253</v>
      </c>
      <c r="D23" s="27" t="s">
        <v>171</v>
      </c>
      <c r="E23" s="27" t="s">
        <v>172</v>
      </c>
      <c r="F23" s="27" t="s">
        <v>173</v>
      </c>
      <c r="G23" s="69" t="s">
        <v>104</v>
      </c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40">
        <f t="shared" si="0"/>
        <v>0</v>
      </c>
      <c r="AN23" s="40" t="e">
        <f t="shared" si="1"/>
        <v>#DIV/0!</v>
      </c>
      <c r="AO23" s="40">
        <f t="shared" si="2"/>
        <v>0</v>
      </c>
    </row>
    <row r="24" spans="1:41" ht="21" x14ac:dyDescent="0.35">
      <c r="A24" s="26" t="s">
        <v>213</v>
      </c>
      <c r="B24" s="27" t="s">
        <v>214</v>
      </c>
      <c r="C24" s="28" t="s">
        <v>205</v>
      </c>
      <c r="D24" s="27" t="s">
        <v>177</v>
      </c>
      <c r="E24" s="27" t="s">
        <v>178</v>
      </c>
      <c r="F24" s="27" t="s">
        <v>179</v>
      </c>
      <c r="G24" s="69" t="s">
        <v>104</v>
      </c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40">
        <f t="shared" si="0"/>
        <v>0</v>
      </c>
      <c r="AN24" s="40" t="e">
        <f t="shared" si="1"/>
        <v>#DIV/0!</v>
      </c>
      <c r="AO24" s="40">
        <f t="shared" si="2"/>
        <v>0</v>
      </c>
    </row>
    <row r="25" spans="1:41" ht="21" x14ac:dyDescent="0.35">
      <c r="A25" s="84" t="s">
        <v>186</v>
      </c>
      <c r="B25" s="85" t="s">
        <v>187</v>
      </c>
      <c r="C25" s="86" t="s">
        <v>188</v>
      </c>
      <c r="D25" s="29" t="s">
        <v>196</v>
      </c>
      <c r="E25" s="29" t="s">
        <v>190</v>
      </c>
      <c r="F25" s="29" t="s">
        <v>197</v>
      </c>
      <c r="G25" s="70" t="s">
        <v>192</v>
      </c>
      <c r="H25" s="68"/>
      <c r="I25" s="68"/>
      <c r="J25" s="87"/>
      <c r="K25" s="87">
        <v>16500</v>
      </c>
      <c r="L25" s="87"/>
      <c r="M25" s="87"/>
      <c r="N25" s="87"/>
      <c r="O25" s="87"/>
      <c r="P25" s="87"/>
      <c r="Q25" s="87"/>
      <c r="R25" s="87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40">
        <f t="shared" si="0"/>
        <v>16500</v>
      </c>
      <c r="AN25" s="40">
        <f t="shared" si="1"/>
        <v>16500</v>
      </c>
      <c r="AO25" s="40">
        <f t="shared" si="2"/>
        <v>1402.5</v>
      </c>
    </row>
    <row r="26" spans="1:41" ht="21" x14ac:dyDescent="0.35">
      <c r="A26" s="26" t="s">
        <v>150</v>
      </c>
      <c r="B26" s="27" t="s">
        <v>151</v>
      </c>
      <c r="C26" s="28" t="s">
        <v>152</v>
      </c>
      <c r="D26" s="27" t="s">
        <v>201</v>
      </c>
      <c r="E26" s="27" t="s">
        <v>190</v>
      </c>
      <c r="F26" s="27" t="s">
        <v>202</v>
      </c>
      <c r="G26" s="70" t="s">
        <v>192</v>
      </c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40">
        <f t="shared" si="0"/>
        <v>0</v>
      </c>
      <c r="AN26" s="40" t="e">
        <f t="shared" si="1"/>
        <v>#DIV/0!</v>
      </c>
      <c r="AO26" s="40">
        <f t="shared" si="2"/>
        <v>0</v>
      </c>
    </row>
    <row r="27" spans="1:41" ht="21" x14ac:dyDescent="0.35">
      <c r="A27" s="26" t="s">
        <v>227</v>
      </c>
      <c r="B27" s="27" t="s">
        <v>228</v>
      </c>
      <c r="C27" s="28" t="s">
        <v>235</v>
      </c>
      <c r="D27" s="27"/>
      <c r="E27" s="27"/>
      <c r="F27" s="27"/>
      <c r="G27" s="70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40">
        <f t="shared" si="0"/>
        <v>0</v>
      </c>
      <c r="AN27" s="40" t="e">
        <f t="shared" si="1"/>
        <v>#DIV/0!</v>
      </c>
      <c r="AO27" s="40">
        <f t="shared" si="2"/>
        <v>0</v>
      </c>
    </row>
    <row r="28" spans="1:41" ht="21" x14ac:dyDescent="0.35">
      <c r="A28" s="84" t="s">
        <v>203</v>
      </c>
      <c r="B28" s="85" t="s">
        <v>204</v>
      </c>
      <c r="C28" s="86" t="s">
        <v>170</v>
      </c>
      <c r="D28" s="27"/>
      <c r="E28" s="27"/>
      <c r="F28" s="27"/>
      <c r="G28" s="70"/>
      <c r="H28" s="68"/>
      <c r="I28" s="68"/>
      <c r="J28" s="87"/>
      <c r="K28" s="87"/>
      <c r="L28" s="87"/>
      <c r="M28" s="87"/>
      <c r="N28" s="87">
        <v>16000</v>
      </c>
      <c r="O28" s="87"/>
      <c r="P28" s="87"/>
      <c r="Q28" s="87">
        <v>3000</v>
      </c>
      <c r="R28" s="87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40">
        <f t="shared" si="0"/>
        <v>19000</v>
      </c>
      <c r="AN28" s="40">
        <f t="shared" ref="AN28" si="3">AVERAGE(H28:AK28)</f>
        <v>9500</v>
      </c>
      <c r="AO28" s="40">
        <f t="shared" ref="AO28" si="4">AM28*8.5%</f>
        <v>1615.0000000000002</v>
      </c>
    </row>
    <row r="29" spans="1:41" ht="21" x14ac:dyDescent="0.35">
      <c r="A29" s="26" t="s">
        <v>231</v>
      </c>
      <c r="B29" s="27" t="s">
        <v>232</v>
      </c>
      <c r="C29" s="60" t="s">
        <v>226</v>
      </c>
      <c r="D29" s="29" t="s">
        <v>206</v>
      </c>
      <c r="E29" s="27" t="s">
        <v>190</v>
      </c>
      <c r="F29" s="27" t="s">
        <v>207</v>
      </c>
      <c r="G29" s="69" t="s">
        <v>208</v>
      </c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40">
        <f t="shared" si="0"/>
        <v>0</v>
      </c>
      <c r="AN29" s="40" t="e">
        <f t="shared" si="1"/>
        <v>#DIV/0!</v>
      </c>
      <c r="AO29" s="40">
        <f t="shared" si="2"/>
        <v>0</v>
      </c>
    </row>
    <row r="30" spans="1:41" ht="21" x14ac:dyDescent="0.35">
      <c r="A30" s="27" t="s">
        <v>229</v>
      </c>
      <c r="B30" s="27" t="s">
        <v>230</v>
      </c>
      <c r="C30" s="60" t="s">
        <v>225</v>
      </c>
      <c r="D30" s="50"/>
      <c r="E30" s="35"/>
      <c r="F30" s="35"/>
      <c r="G30" s="35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40">
        <f t="shared" si="0"/>
        <v>0</v>
      </c>
      <c r="AN30" s="40" t="e">
        <f t="shared" si="1"/>
        <v>#DIV/0!</v>
      </c>
      <c r="AO30" s="40">
        <f t="shared" si="2"/>
        <v>0</v>
      </c>
    </row>
    <row r="31" spans="1:41" ht="21" x14ac:dyDescent="0.35">
      <c r="A31" s="85" t="s">
        <v>238</v>
      </c>
      <c r="B31" s="85" t="s">
        <v>239</v>
      </c>
      <c r="C31" s="86" t="s">
        <v>129</v>
      </c>
      <c r="D31" s="50"/>
      <c r="E31" s="35"/>
      <c r="F31" s="35"/>
      <c r="G31" s="35"/>
      <c r="H31" s="68"/>
      <c r="I31" s="68"/>
      <c r="J31" s="87">
        <v>22000</v>
      </c>
      <c r="K31" s="87"/>
      <c r="L31" s="87">
        <v>12000</v>
      </c>
      <c r="M31" s="87"/>
      <c r="N31" s="87"/>
      <c r="O31" s="87">
        <v>20000</v>
      </c>
      <c r="P31" s="87"/>
      <c r="Q31" s="87"/>
      <c r="R31" s="87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40">
        <f t="shared" si="0"/>
        <v>54000</v>
      </c>
      <c r="AN31" s="40">
        <f t="shared" ref="AN31" si="5">AVERAGE(H31:AK31)</f>
        <v>18000</v>
      </c>
      <c r="AO31" s="40">
        <f t="shared" ref="AO31" si="6">AM31*8.5%</f>
        <v>4590</v>
      </c>
    </row>
    <row r="32" spans="1:41" ht="21" x14ac:dyDescent="0.35">
      <c r="A32" s="27" t="s">
        <v>240</v>
      </c>
      <c r="B32" s="27" t="s">
        <v>241</v>
      </c>
      <c r="C32" s="28" t="s">
        <v>242</v>
      </c>
      <c r="D32" s="50"/>
      <c r="E32" s="35"/>
      <c r="F32" s="35"/>
      <c r="G32" s="35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40"/>
      <c r="AN32" s="40"/>
      <c r="AO32" s="40"/>
    </row>
    <row r="33" spans="1:41" ht="21" x14ac:dyDescent="0.35">
      <c r="A33" s="84" t="s">
        <v>245</v>
      </c>
      <c r="B33" s="85" t="s">
        <v>246</v>
      </c>
      <c r="C33" s="86" t="s">
        <v>247</v>
      </c>
      <c r="D33" s="50"/>
      <c r="E33" s="35"/>
      <c r="F33" s="35"/>
      <c r="G33" s="35"/>
      <c r="H33" s="68"/>
      <c r="I33" s="68"/>
      <c r="J33" s="87"/>
      <c r="K33" s="87"/>
      <c r="L33" s="87"/>
      <c r="M33" s="87"/>
      <c r="N33" s="87"/>
      <c r="O33" s="87">
        <v>18180</v>
      </c>
      <c r="P33" s="87"/>
      <c r="Q33" s="87"/>
      <c r="R33" s="87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40">
        <f t="shared" si="0"/>
        <v>18180</v>
      </c>
      <c r="AN33" s="40">
        <f t="shared" ref="AN33" si="7">AVERAGE(H33:AK33)</f>
        <v>18180</v>
      </c>
      <c r="AO33" s="40">
        <f t="shared" ref="AO33" si="8">AM33*8.5%</f>
        <v>1545.3000000000002</v>
      </c>
    </row>
    <row r="34" spans="1:41" ht="21" x14ac:dyDescent="0.35">
      <c r="A34" s="26" t="s">
        <v>251</v>
      </c>
      <c r="B34" s="27" t="s">
        <v>252</v>
      </c>
      <c r="C34" s="28" t="s">
        <v>250</v>
      </c>
      <c r="D34" s="50"/>
      <c r="E34" s="35"/>
      <c r="F34" s="35"/>
      <c r="G34" s="35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40"/>
      <c r="AN34" s="40"/>
      <c r="AO34" s="40"/>
    </row>
    <row r="35" spans="1:41" ht="21" x14ac:dyDescent="0.35">
      <c r="A35" s="26" t="s">
        <v>254</v>
      </c>
      <c r="B35" s="27" t="s">
        <v>255</v>
      </c>
      <c r="C35" s="60" t="s">
        <v>223</v>
      </c>
      <c r="D35" s="50"/>
      <c r="E35" s="35"/>
      <c r="F35" s="35"/>
      <c r="G35" s="35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40">
        <f t="shared" ref="AM35" si="9">SUM(H35:AL35)</f>
        <v>0</v>
      </c>
      <c r="AN35" s="40" t="e">
        <f t="shared" ref="AN35" si="10">AVERAGE(H35:AK35)</f>
        <v>#DIV/0!</v>
      </c>
      <c r="AO35" s="40">
        <f t="shared" ref="AO35" si="11">AM35*8.5%</f>
        <v>0</v>
      </c>
    </row>
    <row r="36" spans="1:41" ht="21" x14ac:dyDescent="0.35">
      <c r="A36" s="26" t="s">
        <v>224</v>
      </c>
      <c r="B36" s="27"/>
      <c r="C36" s="57" t="s">
        <v>222</v>
      </c>
      <c r="D36" s="74"/>
      <c r="E36" s="75"/>
      <c r="F36" s="75"/>
      <c r="G36" s="75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40">
        <f t="shared" si="0"/>
        <v>0</v>
      </c>
      <c r="AN36" s="40" t="e">
        <f t="shared" si="1"/>
        <v>#DIV/0!</v>
      </c>
      <c r="AO36" s="40">
        <f t="shared" si="2"/>
        <v>0</v>
      </c>
    </row>
    <row r="37" spans="1:41" ht="21" x14ac:dyDescent="0.35">
      <c r="A37" s="27" t="s">
        <v>212</v>
      </c>
      <c r="B37" s="27"/>
      <c r="C37" s="28"/>
      <c r="D37" s="50"/>
      <c r="E37" s="35"/>
      <c r="F37" s="35"/>
      <c r="G37" s="35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40">
        <f t="shared" si="0"/>
        <v>0</v>
      </c>
      <c r="AN37" s="40" t="e">
        <f t="shared" si="1"/>
        <v>#DIV/0!</v>
      </c>
      <c r="AO37" s="40">
        <f t="shared" si="2"/>
        <v>0</v>
      </c>
    </row>
    <row r="38" spans="1:41" ht="21" x14ac:dyDescent="0.35">
      <c r="C38" s="34" t="s">
        <v>1</v>
      </c>
      <c r="D38" s="35"/>
      <c r="E38" s="34"/>
      <c r="H38" s="38">
        <f>SUM(H5:H37)</f>
        <v>0</v>
      </c>
      <c r="I38" s="38">
        <f>SUM(I5:I37)</f>
        <v>0</v>
      </c>
      <c r="J38" s="38">
        <f>SUM(J5:J37)</f>
        <v>22000</v>
      </c>
      <c r="K38" s="38">
        <f>SUM(K5:K29)</f>
        <v>38500</v>
      </c>
      <c r="L38" s="38">
        <f t="shared" ref="L38:T38" si="12">SUM(L5:L37)</f>
        <v>12000</v>
      </c>
      <c r="M38" s="38">
        <f t="shared" si="12"/>
        <v>12000</v>
      </c>
      <c r="N38" s="38">
        <f t="shared" si="12"/>
        <v>16000</v>
      </c>
      <c r="O38" s="38">
        <f t="shared" si="12"/>
        <v>38180</v>
      </c>
      <c r="P38" s="38">
        <f t="shared" si="12"/>
        <v>0</v>
      </c>
      <c r="Q38" s="38">
        <f t="shared" si="12"/>
        <v>23000</v>
      </c>
      <c r="R38" s="38">
        <f t="shared" si="12"/>
        <v>0</v>
      </c>
      <c r="S38" s="38">
        <f t="shared" si="12"/>
        <v>0</v>
      </c>
      <c r="T38" s="38">
        <f t="shared" si="12"/>
        <v>0</v>
      </c>
      <c r="U38" s="38">
        <f>SUM(U5:U29)</f>
        <v>0</v>
      </c>
      <c r="V38" s="38">
        <f>SUM(V5:V37)</f>
        <v>0</v>
      </c>
      <c r="W38" s="38">
        <f>SUM(W5:W29)</f>
        <v>0</v>
      </c>
      <c r="X38" s="38">
        <f>SUM(X5:X29)</f>
        <v>0</v>
      </c>
      <c r="Y38" s="38">
        <f>SUM(Y5:Y37)</f>
        <v>0</v>
      </c>
      <c r="Z38" s="38">
        <f>SUM(Z5:Z29)</f>
        <v>0</v>
      </c>
      <c r="AA38" s="38">
        <f>SUM(AA5:AA29)</f>
        <v>0</v>
      </c>
      <c r="AB38" s="38">
        <f>SUM(AB5:AB37)</f>
        <v>0</v>
      </c>
      <c r="AC38" s="38">
        <f>SUM(AC5:AC37)</f>
        <v>0</v>
      </c>
      <c r="AD38" s="38">
        <f>SUM(AD5:AD37)</f>
        <v>0</v>
      </c>
      <c r="AE38" s="38">
        <f>SUM(AE5:AE37)</f>
        <v>0</v>
      </c>
      <c r="AF38" s="38">
        <f t="shared" ref="AF38:AL38" si="13">SUM(AF5:AF29)</f>
        <v>0</v>
      </c>
      <c r="AG38" s="38">
        <f>SUM(AG5:AG37)</f>
        <v>0</v>
      </c>
      <c r="AH38" s="38">
        <f>SUM(AH5:AH37)</f>
        <v>0</v>
      </c>
      <c r="AI38" s="38">
        <f>SUM(AI5:AI37)</f>
        <v>0</v>
      </c>
      <c r="AJ38" s="38">
        <f>SUM(AJ5:AJ37)</f>
        <v>0</v>
      </c>
      <c r="AK38" s="38">
        <f>SUM(AK5:AK37)</f>
        <v>0</v>
      </c>
      <c r="AL38" s="38">
        <f t="shared" si="13"/>
        <v>0</v>
      </c>
      <c r="AM38" s="40">
        <f>SUM(H38:AL38)</f>
        <v>161680</v>
      </c>
      <c r="AN38" s="40" t="e">
        <f>SUM(AN5:AN29)</f>
        <v>#DIV/0!</v>
      </c>
      <c r="AO38" s="40">
        <f>SUM(AO5:AO29)</f>
        <v>7607.5</v>
      </c>
    </row>
    <row r="39" spans="1:41" x14ac:dyDescent="0.25">
      <c r="D39" s="33" t="s">
        <v>9</v>
      </c>
      <c r="H39" s="24">
        <v>45992</v>
      </c>
      <c r="I39" s="24">
        <v>45993</v>
      </c>
      <c r="J39" s="24">
        <v>45994</v>
      </c>
      <c r="K39" s="24">
        <v>45995</v>
      </c>
      <c r="L39" s="24">
        <v>45996</v>
      </c>
      <c r="M39" s="24">
        <v>45997</v>
      </c>
      <c r="N39" s="24">
        <v>45998</v>
      </c>
      <c r="O39" s="24">
        <v>45999</v>
      </c>
      <c r="P39" s="24">
        <v>46000</v>
      </c>
      <c r="Q39" s="24">
        <v>46001</v>
      </c>
      <c r="R39" s="24">
        <v>46002</v>
      </c>
      <c r="S39" s="24">
        <v>46003</v>
      </c>
      <c r="T39" s="24">
        <v>46004</v>
      </c>
      <c r="U39" s="24">
        <v>46005</v>
      </c>
      <c r="V39" s="24">
        <v>46006</v>
      </c>
      <c r="W39" s="24">
        <v>46007</v>
      </c>
      <c r="X39" s="24">
        <v>46008</v>
      </c>
      <c r="Y39" s="24">
        <v>46009</v>
      </c>
      <c r="Z39" s="24">
        <v>46010</v>
      </c>
      <c r="AA39" s="24">
        <v>46011</v>
      </c>
      <c r="AB39" s="24">
        <v>46012</v>
      </c>
      <c r="AC39" s="24">
        <v>46013</v>
      </c>
      <c r="AD39" s="24">
        <v>46014</v>
      </c>
      <c r="AE39" s="24">
        <v>46015</v>
      </c>
      <c r="AF39" s="24">
        <v>46016</v>
      </c>
      <c r="AG39" s="24">
        <v>46017</v>
      </c>
      <c r="AH39" s="24">
        <v>46018</v>
      </c>
      <c r="AI39" s="24">
        <v>46019</v>
      </c>
      <c r="AJ39" s="24">
        <v>46020</v>
      </c>
      <c r="AK39" s="24">
        <v>46021</v>
      </c>
      <c r="AL39" s="24">
        <v>46022</v>
      </c>
      <c r="AN39" t="s">
        <v>9</v>
      </c>
      <c r="AO39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SETEMBRO</vt:lpstr>
      <vt:lpstr>PRODUÇAO</vt:lpstr>
      <vt:lpstr>OUTUBRO</vt:lpstr>
      <vt:lpstr>PRODUÇAO (OUT)</vt:lpstr>
      <vt:lpstr>NOVEMBRO </vt:lpstr>
      <vt:lpstr>PRODUÇAO (NOV)</vt:lpstr>
      <vt:lpstr>DEZEMBRO</vt:lpstr>
      <vt:lpstr>PRODUÇAO (DEZ)</vt:lpstr>
      <vt:lpstr>DEZEMBRO JOSÉ</vt:lpstr>
      <vt:lpstr>PRODUÇAO JOSÉ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 Ferraz</dc:creator>
  <cp:lastModifiedBy>acer aspire</cp:lastModifiedBy>
  <dcterms:created xsi:type="dcterms:W3CDTF">2025-09-02T14:33:34Z</dcterms:created>
  <dcterms:modified xsi:type="dcterms:W3CDTF">2025-12-12T11:30:21Z</dcterms:modified>
</cp:coreProperties>
</file>